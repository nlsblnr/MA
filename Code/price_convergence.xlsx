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11a64ab9857b2454/Desktop/SJF/Finale/Überarbeitung/Code/"/>
    </mc:Choice>
  </mc:AlternateContent>
  <xr:revisionPtr revIDLastSave="264" documentId="11_AD4DB114E441178AC67DF4019E56C038693EDF1A" xr6:coauthVersionLast="47" xr6:coauthVersionMax="47" xr10:uidLastSave="{CA96357D-B94D-45DE-87BF-05E4288A5FB1}"/>
  <bookViews>
    <workbookView xWindow="-96" yWindow="-96" windowWidth="23232" windowHeight="12552" xr2:uid="{00000000-000D-0000-FFFF-FFFF00000000}"/>
  </bookViews>
  <sheets>
    <sheet name="direkt aus optionspreisen" sheetId="1" r:id="rId1"/>
    <sheet name="S_T lognorm approach" sheetId="2" r:id="rId2"/>
  </sheets>
  <definedNames>
    <definedName name="_xlchart.v1.0" hidden="1">'direkt aus optionspreisen'!$B$3:$B$502</definedName>
    <definedName name="_xlchart.v1.1" hidden="1">'direkt aus optionspreisen'!$C$3:$C$502</definedName>
    <definedName name="_xlchart.v1.2" hidden="1">'S_T lognorm approach'!$B$3:$B$502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D8" i="2"/>
  <c r="D6" i="2"/>
  <c r="E3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3" i="2"/>
  <c r="N9" i="1"/>
  <c r="O9" i="1" s="1"/>
  <c r="N5" i="1"/>
  <c r="I8" i="1"/>
  <c r="H8" i="1"/>
  <c r="G8" i="1"/>
  <c r="F8" i="1"/>
  <c r="E8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<sst xmlns="http://schemas.openxmlformats.org/spreadsheetml/2006/main" count="26" uniqueCount="16">
  <si>
    <t>Aktienpreis</t>
  </si>
  <si>
    <t>Optionspreis</t>
  </si>
  <si>
    <t>max</t>
  </si>
  <si>
    <t>min</t>
  </si>
  <si>
    <t>mittelwert</t>
  </si>
  <si>
    <t>stdabw</t>
  </si>
  <si>
    <t>n</t>
  </si>
  <si>
    <t>P(S&lt;100)</t>
  </si>
  <si>
    <t>Anzahl</t>
  </si>
  <si>
    <t>Anteil</t>
  </si>
  <si>
    <t>wie viele haben 0 geschätzt?</t>
  </si>
  <si>
    <t>zählen, wie viele Optionspreise in dieser Simulation unterschätzt (&lt;10.44) wurden</t>
  </si>
  <si>
    <t>log(S_T)</t>
  </si>
  <si>
    <t>Mittelwert</t>
  </si>
  <si>
    <t>Stdabw</t>
  </si>
  <si>
    <t>P(S&lt;110.88)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</si>
</sst>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Histogramm Aktienpreis (lognormal)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Histogramm Aktienpreis (lognormal)</a:t>
          </a:r>
        </a:p>
      </cx:txPr>
    </cx:title>
    <cx:plotArea>
      <cx:plotAreaRegion>
        <cx:series layoutId="clusteredColumn" uniqueId="{330B431D-9B60-4641-9ED7-2675F2C202F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Histogramm Optionspreis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Histogramm Optionspreis</a:t>
          </a:r>
        </a:p>
      </cx:txPr>
    </cx:title>
    <cx:plotArea>
      <cx:plotAreaRegion>
        <cx:series layoutId="clusteredColumn" uniqueId="{5DE562BA-96CB-4BD2-8475-791BC6C7DBC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Histogramm logarithmischer Aktienkurs (normalverteilt)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Histogramm logarithmischer Aktienkurs (normalverteilt)</a:t>
          </a:r>
        </a:p>
      </cx:txPr>
    </cx:title>
    <cx:plotArea>
      <cx:plotAreaRegion>
        <cx:series layoutId="clusteredColumn" uniqueId="{07EA4081-4AE9-4B5C-9820-33FED51EF45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558982</xdr:colOff>
      <xdr:row>8</xdr:row>
      <xdr:rowOff>82732</xdr:rowOff>
    </xdr:from>
    <xdr:to>
      <xdr:col>12</xdr:col>
      <xdr:colOff>0</xdr:colOff>
      <xdr:row>23</xdr:row>
      <xdr:rowOff>82732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B7826784-C8FE-42E1-8035-2B5070DEE1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9302" y="1545772"/>
              <a:ext cx="521316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559768</xdr:colOff>
      <xdr:row>23</xdr:row>
      <xdr:rowOff>134015</xdr:rowOff>
    </xdr:from>
    <xdr:to>
      <xdr:col>12</xdr:col>
      <xdr:colOff>0</xdr:colOff>
      <xdr:row>38</xdr:row>
      <xdr:rowOff>134014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505F2EE8-8918-48C3-AD17-FAB014ED5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0088" y="4340255"/>
              <a:ext cx="5212382" cy="2743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2</xdr:col>
      <xdr:colOff>142857</xdr:colOff>
      <xdr:row>10</xdr:row>
      <xdr:rowOff>108618</xdr:rowOff>
    </xdr:from>
    <xdr:to>
      <xdr:col>5</xdr:col>
      <xdr:colOff>27951</xdr:colOff>
      <xdr:row>18</xdr:row>
      <xdr:rowOff>108620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C13B97C9-F8C3-E023-1D03-8E849C63AB42}"/>
            </a:ext>
          </a:extLst>
        </xdr:cNvPr>
        <xdr:cNvSpPr txBox="1"/>
      </xdr:nvSpPr>
      <xdr:spPr>
        <a:xfrm>
          <a:off x="1419207" y="1918368"/>
          <a:ext cx="1799619" cy="14478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Für</a:t>
          </a:r>
          <a:r>
            <a:rPr lang="de-CH" sz="1100" baseline="0"/>
            <a:t> europäischen Call mit </a:t>
          </a:r>
        </a:p>
        <a:p>
          <a:r>
            <a:rPr lang="de-CH" sz="1100" baseline="0"/>
            <a:t>L=1</a:t>
          </a:r>
        </a:p>
        <a:p>
          <a:r>
            <a:rPr lang="de-CH" sz="1100" baseline="0"/>
            <a:t>T=365</a:t>
          </a:r>
        </a:p>
        <a:p>
          <a:r>
            <a:rPr lang="de-CH" sz="1100" baseline="0"/>
            <a:t>S_0=100</a:t>
          </a:r>
        </a:p>
        <a:p>
          <a:r>
            <a:rPr lang="de-CH" sz="1100" baseline="0"/>
            <a:t>r=4.2%</a:t>
          </a:r>
        </a:p>
        <a:p>
          <a:r>
            <a:rPr lang="de-CH" sz="1100" baseline="0"/>
            <a:t>sigma=20%</a:t>
          </a:r>
        </a:p>
        <a:p>
          <a:r>
            <a:rPr lang="de-CH" sz="1100" b="1" baseline="0"/>
            <a:t>K=100</a:t>
          </a:r>
          <a:endParaRPr lang="de-CH" sz="1100" b="1"/>
        </a:p>
      </xdr:txBody>
    </xdr:sp>
    <xdr:clientData/>
  </xdr:twoCellAnchor>
  <xdr:twoCellAnchor>
    <xdr:from>
      <xdr:col>12</xdr:col>
      <xdr:colOff>102527</xdr:colOff>
      <xdr:row>9</xdr:row>
      <xdr:rowOff>79331</xdr:rowOff>
    </xdr:from>
    <xdr:to>
      <xdr:col>16</xdr:col>
      <xdr:colOff>26095</xdr:colOff>
      <xdr:row>19</xdr:row>
      <xdr:rowOff>52192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153C3F75-D2EC-475A-8976-85E6AD0E97F8}"/>
            </a:ext>
          </a:extLst>
        </xdr:cNvPr>
        <xdr:cNvSpPr txBox="1"/>
      </xdr:nvSpPr>
      <xdr:spPr>
        <a:xfrm>
          <a:off x="8453212" y="1723372"/>
          <a:ext cx="2491404" cy="1799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0" baseline="0"/>
            <a:t>=&gt; Mit ca. 43%-iger Wahrscheinlichkeit lag der simulierte Optionspreis bei 0. Mit ca. 23%-iger Wkeit wurde ein Optionspreis &gt;0 aber &lt;10.44 geschätzt. </a:t>
          </a:r>
          <a:r>
            <a:rPr lang="de-CH" sz="1100" b="1" baseline="0"/>
            <a:t>Somit wurde bei jeder Kurssimulation mit einer ca. 66%-Wkeit der Optionspreis unterschätzt. </a:t>
          </a:r>
          <a:r>
            <a:rPr lang="de-CH" sz="1100" b="0" baseline="0"/>
            <a:t>Durch diese systematische Unterschätzung nähert sich die Optionspreisschätzung dem Black-Scholes-Preis </a:t>
          </a:r>
          <a:r>
            <a:rPr lang="de-CH" sz="1100" b="1" baseline="0"/>
            <a:t>von unten.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377190</xdr:colOff>
      <xdr:row>0</xdr:row>
      <xdr:rowOff>135255</xdr:rowOff>
    </xdr:from>
    <xdr:to>
      <xdr:col>12</xdr:col>
      <xdr:colOff>194310</xdr:colOff>
      <xdr:row>15</xdr:row>
      <xdr:rowOff>135255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7F031ABD-D8CA-2D36-52C4-CD0C2D01B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2070" y="13525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121920</xdr:colOff>
      <xdr:row>5</xdr:row>
      <xdr:rowOff>99060</xdr:rowOff>
    </xdr:from>
    <xdr:to>
      <xdr:col>6</xdr:col>
      <xdr:colOff>347931</xdr:colOff>
      <xdr:row>10</xdr:row>
      <xdr:rowOff>148590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7E5AC27-C03A-4C64-8403-8B98B2A10ED8}"/>
            </a:ext>
          </a:extLst>
        </xdr:cNvPr>
        <xdr:cNvSpPr txBox="1"/>
      </xdr:nvSpPr>
      <xdr:spPr>
        <a:xfrm>
          <a:off x="3291840" y="1013460"/>
          <a:ext cx="1810971" cy="963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0"/>
            <a:t>Um</a:t>
          </a:r>
          <a:r>
            <a:rPr lang="de-CH" sz="1100" b="0" baseline="0"/>
            <a:t> einen Optionspreis von 10.44 zu erhalten, muss man einen Aktienpreis von 100+exp(0.042)*10.44=110.88 erreichen</a:t>
          </a:r>
          <a:endParaRPr lang="de-CH" sz="1100" b="0"/>
        </a:p>
      </xdr:txBody>
    </xdr:sp>
    <xdr:clientData/>
  </xdr:twoCellAnchor>
  <xdr:twoCellAnchor>
    <xdr:from>
      <xdr:col>2</xdr:col>
      <xdr:colOff>422910</xdr:colOff>
      <xdr:row>10</xdr:row>
      <xdr:rowOff>106680</xdr:rowOff>
    </xdr:from>
    <xdr:to>
      <xdr:col>4</xdr:col>
      <xdr:colOff>648921</xdr:colOff>
      <xdr:row>14</xdr:row>
      <xdr:rowOff>15240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8612CA40-66F0-4D45-B1A4-610ABFCFAB0C}"/>
            </a:ext>
          </a:extLst>
        </xdr:cNvPr>
        <xdr:cNvSpPr txBox="1"/>
      </xdr:nvSpPr>
      <xdr:spPr>
        <a:xfrm>
          <a:off x="2007870" y="1935480"/>
          <a:ext cx="1810971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/>
            <a:t>=&gt; Mit Wkeit</a:t>
          </a:r>
          <a:r>
            <a:rPr lang="de-CH" sz="1100" b="1" baseline="0"/>
            <a:t> von 64% wird der Optionspreis unterschätzt</a:t>
          </a:r>
          <a:endParaRPr lang="de-CH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02"/>
  <sheetViews>
    <sheetView tabSelected="1" zoomScale="210" zoomScaleNormal="55" workbookViewId="0">
      <selection activeCell="B6" sqref="B6"/>
    </sheetView>
  </sheetViews>
  <sheetFormatPr baseColWidth="10" defaultColWidth="8.83984375" defaultRowHeight="14.4" x14ac:dyDescent="0.55000000000000004"/>
  <cols>
    <col min="2" max="2" width="12.9453125" customWidth="1"/>
    <col min="11" max="11" width="12.15625" customWidth="1"/>
    <col min="12" max="12" width="14.5234375" customWidth="1"/>
  </cols>
  <sheetData>
    <row r="2" spans="2:15" x14ac:dyDescent="0.55000000000000004">
      <c r="B2" t="s">
        <v>0</v>
      </c>
      <c r="C2" t="s">
        <v>1</v>
      </c>
      <c r="E2" t="s">
        <v>0</v>
      </c>
    </row>
    <row r="3" spans="2:15" x14ac:dyDescent="0.55000000000000004">
      <c r="B3">
        <v>133.134157341769</v>
      </c>
      <c r="C3">
        <v>31.7713421797568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K3" s="2"/>
      <c r="N3" s="2" t="s">
        <v>11</v>
      </c>
    </row>
    <row r="4" spans="2:15" x14ac:dyDescent="0.55000000000000004">
      <c r="B4">
        <v>128.662881752712</v>
      </c>
      <c r="C4">
        <v>27.4839711367988</v>
      </c>
      <c r="E4">
        <f>MAX(B3:B502)</f>
        <v>180.751941517776</v>
      </c>
      <c r="F4">
        <f>MIN(B3:B502)</f>
        <v>54.062343257358997</v>
      </c>
      <c r="G4">
        <f>AVERAGE(B3:B502)</f>
        <v>104.87317128096322</v>
      </c>
      <c r="H4">
        <f>STDEVA(B3:B502)</f>
        <v>21.764356311640654</v>
      </c>
      <c r="I4">
        <f>COUNT(B3:B502)</f>
        <v>500</v>
      </c>
      <c r="N4" t="s">
        <v>8</v>
      </c>
      <c r="O4" t="s">
        <v>9</v>
      </c>
    </row>
    <row r="5" spans="2:15" x14ac:dyDescent="0.55000000000000004">
      <c r="B5">
        <v>106.897421991957</v>
      </c>
      <c r="C5">
        <v>6.6137295119442898</v>
      </c>
      <c r="N5">
        <f>COUNTIF(C3:C502, "&lt;"&amp;10.43613)</f>
        <v>331</v>
      </c>
      <c r="O5" s="3">
        <f>N5/I8</f>
        <v>0.66200000000000003</v>
      </c>
    </row>
    <row r="6" spans="2:15" x14ac:dyDescent="0.55000000000000004">
      <c r="B6">
        <v>121.07655740489901</v>
      </c>
      <c r="C6">
        <v>20.209673974059299</v>
      </c>
      <c r="E6" t="s">
        <v>1</v>
      </c>
      <c r="K6" s="1"/>
    </row>
    <row r="7" spans="2:15" x14ac:dyDescent="0.55000000000000004">
      <c r="B7">
        <v>100.983657276134</v>
      </c>
      <c r="C7">
        <v>0.94319923652555504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K7" s="1"/>
      <c r="N7" t="s">
        <v>10</v>
      </c>
    </row>
    <row r="8" spans="2:15" x14ac:dyDescent="0.55000000000000004">
      <c r="B8">
        <v>110.15685387264099</v>
      </c>
      <c r="C8">
        <v>9.7391002441666803</v>
      </c>
      <c r="E8">
        <f>MAX(C3:C502)</f>
        <v>77.430596443952297</v>
      </c>
      <c r="F8">
        <f>MIN(C3:C502)</f>
        <v>0</v>
      </c>
      <c r="G8">
        <f>AVERAGE(C3:C502)</f>
        <v>10.436129664623493</v>
      </c>
      <c r="H8">
        <f>STDEVA(C3:C502)</f>
        <v>15.121764920407569</v>
      </c>
      <c r="I8">
        <f>COUNT(C3:C502)</f>
        <v>500</v>
      </c>
      <c r="N8" t="s">
        <v>8</v>
      </c>
      <c r="O8" t="s">
        <v>9</v>
      </c>
    </row>
    <row r="9" spans="2:15" x14ac:dyDescent="0.55000000000000004">
      <c r="B9">
        <v>92.649101586453099</v>
      </c>
      <c r="C9">
        <v>0</v>
      </c>
      <c r="N9">
        <f>COUNTIF(C3:C502,"="&amp;0)</f>
        <v>215</v>
      </c>
      <c r="O9" s="3">
        <f>N9/I8</f>
        <v>0.43</v>
      </c>
    </row>
    <row r="10" spans="2:15" x14ac:dyDescent="0.55000000000000004">
      <c r="B10">
        <v>116.89916621422999</v>
      </c>
      <c r="C10">
        <v>16.204099799697101</v>
      </c>
    </row>
    <row r="11" spans="2:15" x14ac:dyDescent="0.55000000000000004">
      <c r="B11">
        <v>104.661996649522</v>
      </c>
      <c r="C11">
        <v>4.4702477043576501</v>
      </c>
    </row>
    <row r="12" spans="2:15" x14ac:dyDescent="0.55000000000000004">
      <c r="B12">
        <v>87.190927718312395</v>
      </c>
      <c r="C12">
        <v>0</v>
      </c>
    </row>
    <row r="13" spans="2:15" x14ac:dyDescent="0.55000000000000004">
      <c r="B13">
        <v>80.921998472011197</v>
      </c>
      <c r="C13">
        <v>0</v>
      </c>
    </row>
    <row r="14" spans="2:15" x14ac:dyDescent="0.55000000000000004">
      <c r="B14">
        <v>96.189993103131002</v>
      </c>
      <c r="C14">
        <v>0</v>
      </c>
    </row>
    <row r="15" spans="2:15" x14ac:dyDescent="0.55000000000000004">
      <c r="B15">
        <v>135.53583770751101</v>
      </c>
      <c r="C15">
        <v>34.074240905061302</v>
      </c>
    </row>
    <row r="16" spans="2:15" x14ac:dyDescent="0.55000000000000004">
      <c r="B16">
        <v>72.743539200565806</v>
      </c>
      <c r="C16">
        <v>0</v>
      </c>
    </row>
    <row r="17" spans="2:3" x14ac:dyDescent="0.55000000000000004">
      <c r="B17">
        <v>111.957421379786</v>
      </c>
      <c r="C17">
        <v>11.465610014648799</v>
      </c>
    </row>
    <row r="18" spans="2:3" x14ac:dyDescent="0.55000000000000004">
      <c r="B18">
        <v>83.080741802521999</v>
      </c>
      <c r="C18">
        <v>0</v>
      </c>
    </row>
    <row r="19" spans="2:3" x14ac:dyDescent="0.55000000000000004">
      <c r="B19">
        <v>118.118117890458</v>
      </c>
      <c r="C19">
        <v>17.372915726010401</v>
      </c>
    </row>
    <row r="20" spans="2:3" x14ac:dyDescent="0.55000000000000004">
      <c r="B20">
        <v>91.730667906133405</v>
      </c>
      <c r="C20">
        <v>0</v>
      </c>
    </row>
    <row r="21" spans="2:3" x14ac:dyDescent="0.55000000000000004">
      <c r="B21">
        <v>105.47218605427901</v>
      </c>
      <c r="C21">
        <v>5.2471138411191296</v>
      </c>
    </row>
    <row r="22" spans="2:3" x14ac:dyDescent="0.55000000000000004">
      <c r="B22">
        <v>93.358605947949997</v>
      </c>
      <c r="C22">
        <v>0</v>
      </c>
    </row>
    <row r="23" spans="2:3" x14ac:dyDescent="0.55000000000000004">
      <c r="B23">
        <v>88.057066237389193</v>
      </c>
      <c r="C23">
        <v>0</v>
      </c>
    </row>
    <row r="24" spans="2:3" x14ac:dyDescent="0.55000000000000004">
      <c r="B24">
        <v>111.450424107215</v>
      </c>
      <c r="C24">
        <v>10.979465651147599</v>
      </c>
    </row>
    <row r="25" spans="2:3" x14ac:dyDescent="0.55000000000000004">
      <c r="B25">
        <v>105.87653499960599</v>
      </c>
      <c r="C25">
        <v>5.6348318255996697</v>
      </c>
    </row>
    <row r="26" spans="2:3" x14ac:dyDescent="0.55000000000000004">
      <c r="B26">
        <v>145.39329332065199</v>
      </c>
      <c r="C26">
        <v>43.526257205836103</v>
      </c>
    </row>
    <row r="27" spans="2:3" x14ac:dyDescent="0.55000000000000004">
      <c r="B27">
        <v>90.468330885967703</v>
      </c>
      <c r="C27">
        <v>0</v>
      </c>
    </row>
    <row r="28" spans="2:3" x14ac:dyDescent="0.55000000000000004">
      <c r="B28">
        <v>108.07647564651499</v>
      </c>
      <c r="C28">
        <v>7.7442884309731799</v>
      </c>
    </row>
    <row r="29" spans="2:3" x14ac:dyDescent="0.55000000000000004">
      <c r="B29">
        <v>93.166652827084107</v>
      </c>
      <c r="C29">
        <v>0</v>
      </c>
    </row>
    <row r="30" spans="2:3" x14ac:dyDescent="0.55000000000000004">
      <c r="B30">
        <v>103.548033994758</v>
      </c>
      <c r="C30">
        <v>3.4021025780181899</v>
      </c>
    </row>
    <row r="31" spans="2:3" x14ac:dyDescent="0.55000000000000004">
      <c r="B31">
        <v>63.376367102162</v>
      </c>
      <c r="C31">
        <v>0</v>
      </c>
    </row>
    <row r="32" spans="2:3" x14ac:dyDescent="0.55000000000000004">
      <c r="B32">
        <v>104.52068907476</v>
      </c>
      <c r="C32">
        <v>4.3347521411517098</v>
      </c>
    </row>
    <row r="33" spans="2:3" x14ac:dyDescent="0.55000000000000004">
      <c r="B33">
        <v>114.258746936916</v>
      </c>
      <c r="C33">
        <v>13.6722815466401</v>
      </c>
    </row>
    <row r="34" spans="2:3" x14ac:dyDescent="0.55000000000000004">
      <c r="B34">
        <v>78.765083651383705</v>
      </c>
      <c r="C34">
        <v>0</v>
      </c>
    </row>
    <row r="35" spans="2:3" x14ac:dyDescent="0.55000000000000004">
      <c r="B35">
        <v>85.819097081033107</v>
      </c>
      <c r="C35">
        <v>0</v>
      </c>
    </row>
    <row r="36" spans="2:3" x14ac:dyDescent="0.55000000000000004">
      <c r="B36">
        <v>99.238912671081906</v>
      </c>
      <c r="C36">
        <v>0</v>
      </c>
    </row>
    <row r="37" spans="2:3" x14ac:dyDescent="0.55000000000000004">
      <c r="B37">
        <v>122.624227658926</v>
      </c>
      <c r="C37">
        <v>21.693688210936401</v>
      </c>
    </row>
    <row r="38" spans="2:3" x14ac:dyDescent="0.55000000000000004">
      <c r="B38">
        <v>54.062343257358997</v>
      </c>
      <c r="C38">
        <v>0</v>
      </c>
    </row>
    <row r="39" spans="2:3" x14ac:dyDescent="0.55000000000000004">
      <c r="B39">
        <v>122.46494934269801</v>
      </c>
      <c r="C39">
        <v>21.540961046804799</v>
      </c>
    </row>
    <row r="40" spans="2:3" x14ac:dyDescent="0.55000000000000004">
      <c r="B40">
        <v>78.011056013873798</v>
      </c>
      <c r="C40">
        <v>0</v>
      </c>
    </row>
    <row r="41" spans="2:3" x14ac:dyDescent="0.55000000000000004">
      <c r="B41">
        <v>122.47520720350199</v>
      </c>
      <c r="C41">
        <v>21.5507969995435</v>
      </c>
    </row>
    <row r="42" spans="2:3" x14ac:dyDescent="0.55000000000000004">
      <c r="B42">
        <v>124.275498853703</v>
      </c>
      <c r="C42">
        <v>23.277042259138</v>
      </c>
    </row>
    <row r="43" spans="2:3" x14ac:dyDescent="0.55000000000000004">
      <c r="B43">
        <v>121.258813357942</v>
      </c>
      <c r="C43">
        <v>20.384433699761999</v>
      </c>
    </row>
    <row r="44" spans="2:3" x14ac:dyDescent="0.55000000000000004">
      <c r="B44">
        <v>111.458198514911</v>
      </c>
      <c r="C44">
        <v>10.9869202957496</v>
      </c>
    </row>
    <row r="45" spans="2:3" x14ac:dyDescent="0.55000000000000004">
      <c r="B45">
        <v>114.15513929501201</v>
      </c>
      <c r="C45">
        <v>13.572935309781601</v>
      </c>
    </row>
    <row r="46" spans="2:3" x14ac:dyDescent="0.55000000000000004">
      <c r="B46">
        <v>117.40359942950001</v>
      </c>
      <c r="C46">
        <v>16.687785566136402</v>
      </c>
    </row>
    <row r="47" spans="2:3" x14ac:dyDescent="0.55000000000000004">
      <c r="B47">
        <v>109.47614813417501</v>
      </c>
      <c r="C47">
        <v>9.0863920820895707</v>
      </c>
    </row>
    <row r="48" spans="2:3" x14ac:dyDescent="0.55000000000000004">
      <c r="B48">
        <v>109.895245291539</v>
      </c>
      <c r="C48">
        <v>9.4882516814091407</v>
      </c>
    </row>
    <row r="49" spans="2:3" x14ac:dyDescent="0.55000000000000004">
      <c r="B49">
        <v>127.961135302179</v>
      </c>
      <c r="C49">
        <v>26.811087671758699</v>
      </c>
    </row>
    <row r="50" spans="2:3" x14ac:dyDescent="0.55000000000000004">
      <c r="B50">
        <v>102.834896026584</v>
      </c>
      <c r="C50">
        <v>2.7182961309567899</v>
      </c>
    </row>
    <row r="51" spans="2:3" x14ac:dyDescent="0.55000000000000004">
      <c r="B51">
        <v>86.041438429140797</v>
      </c>
      <c r="C51">
        <v>0</v>
      </c>
    </row>
    <row r="52" spans="2:3" x14ac:dyDescent="0.55000000000000004">
      <c r="B52">
        <v>107.034316724555</v>
      </c>
      <c r="C52">
        <v>6.7449937341519499</v>
      </c>
    </row>
    <row r="53" spans="2:3" x14ac:dyDescent="0.55000000000000004">
      <c r="B53">
        <v>81.604636519784904</v>
      </c>
      <c r="C53">
        <v>0</v>
      </c>
    </row>
    <row r="54" spans="2:3" x14ac:dyDescent="0.55000000000000004">
      <c r="B54">
        <v>79.553358480015106</v>
      </c>
      <c r="C54">
        <v>0</v>
      </c>
    </row>
    <row r="55" spans="2:3" x14ac:dyDescent="0.55000000000000004">
      <c r="B55">
        <v>102.92970206116701</v>
      </c>
      <c r="C55">
        <v>2.80920277253415</v>
      </c>
    </row>
    <row r="56" spans="2:3" x14ac:dyDescent="0.55000000000000004">
      <c r="B56">
        <v>94.022782225098197</v>
      </c>
      <c r="C56">
        <v>0</v>
      </c>
    </row>
    <row r="57" spans="2:3" x14ac:dyDescent="0.55000000000000004">
      <c r="B57">
        <v>74.121613846357306</v>
      </c>
      <c r="C57">
        <v>0</v>
      </c>
    </row>
    <row r="58" spans="2:3" x14ac:dyDescent="0.55000000000000004">
      <c r="B58">
        <v>101.718124887255</v>
      </c>
      <c r="C58">
        <v>1.6474580336389</v>
      </c>
    </row>
    <row r="59" spans="2:3" x14ac:dyDescent="0.55000000000000004">
      <c r="B59">
        <v>105.30297361220001</v>
      </c>
      <c r="C59">
        <v>5.08486114391272</v>
      </c>
    </row>
    <row r="60" spans="2:3" x14ac:dyDescent="0.55000000000000004">
      <c r="B60">
        <v>96.224878444736703</v>
      </c>
      <c r="C60">
        <v>0</v>
      </c>
    </row>
    <row r="61" spans="2:3" x14ac:dyDescent="0.55000000000000004">
      <c r="B61">
        <v>94.631800537883905</v>
      </c>
      <c r="C61">
        <v>0</v>
      </c>
    </row>
    <row r="62" spans="2:3" x14ac:dyDescent="0.55000000000000004">
      <c r="B62">
        <v>121.774374843022</v>
      </c>
      <c r="C62">
        <v>20.878790027832199</v>
      </c>
    </row>
    <row r="63" spans="2:3" x14ac:dyDescent="0.55000000000000004">
      <c r="B63">
        <v>106.497979264808</v>
      </c>
      <c r="C63">
        <v>6.2307159518119004</v>
      </c>
    </row>
    <row r="64" spans="2:3" x14ac:dyDescent="0.55000000000000004">
      <c r="B64">
        <v>87.536663251021395</v>
      </c>
      <c r="C64">
        <v>0</v>
      </c>
    </row>
    <row r="65" spans="2:3" x14ac:dyDescent="0.55000000000000004">
      <c r="B65">
        <v>123.892427721384</v>
      </c>
      <c r="C65">
        <v>22.9097269265474</v>
      </c>
    </row>
    <row r="66" spans="2:3" x14ac:dyDescent="0.55000000000000004">
      <c r="B66">
        <v>118.187210147654</v>
      </c>
      <c r="C66">
        <v>17.439166203507</v>
      </c>
    </row>
    <row r="67" spans="2:3" x14ac:dyDescent="0.55000000000000004">
      <c r="B67">
        <v>134.980574616224</v>
      </c>
      <c r="C67">
        <v>33.541815906558398</v>
      </c>
    </row>
    <row r="68" spans="2:3" x14ac:dyDescent="0.55000000000000004">
      <c r="B68">
        <v>106.156697874293</v>
      </c>
      <c r="C68">
        <v>5.9034715397747499</v>
      </c>
    </row>
    <row r="69" spans="2:3" x14ac:dyDescent="0.55000000000000004">
      <c r="B69">
        <v>76.677952053050703</v>
      </c>
      <c r="C69">
        <v>0</v>
      </c>
    </row>
    <row r="70" spans="2:3" x14ac:dyDescent="0.55000000000000004">
      <c r="B70">
        <v>142.637067455439</v>
      </c>
      <c r="C70">
        <v>40.883395515251003</v>
      </c>
    </row>
    <row r="71" spans="2:3" x14ac:dyDescent="0.55000000000000004">
      <c r="B71">
        <v>99.699200580433299</v>
      </c>
      <c r="C71">
        <v>0</v>
      </c>
    </row>
    <row r="72" spans="2:3" x14ac:dyDescent="0.55000000000000004">
      <c r="B72">
        <v>86.897813924923298</v>
      </c>
      <c r="C72">
        <v>0</v>
      </c>
    </row>
    <row r="73" spans="2:3" x14ac:dyDescent="0.55000000000000004">
      <c r="B73">
        <v>92.631270176968798</v>
      </c>
      <c r="C73">
        <v>0</v>
      </c>
    </row>
    <row r="74" spans="2:3" x14ac:dyDescent="0.55000000000000004">
      <c r="B74">
        <v>97.008575289323105</v>
      </c>
      <c r="C74">
        <v>0</v>
      </c>
    </row>
    <row r="75" spans="2:3" x14ac:dyDescent="0.55000000000000004">
      <c r="B75">
        <v>114.77418127976399</v>
      </c>
      <c r="C75">
        <v>14.166515961865899</v>
      </c>
    </row>
    <row r="76" spans="2:3" x14ac:dyDescent="0.55000000000000004">
      <c r="B76">
        <v>87.4845074487082</v>
      </c>
      <c r="C76">
        <v>0</v>
      </c>
    </row>
    <row r="77" spans="2:3" x14ac:dyDescent="0.55000000000000004">
      <c r="B77">
        <v>113.458931340056</v>
      </c>
      <c r="C77">
        <v>12.905362540779899</v>
      </c>
    </row>
    <row r="78" spans="2:3" x14ac:dyDescent="0.55000000000000004">
      <c r="B78">
        <v>106.220930689865</v>
      </c>
      <c r="C78">
        <v>5.9650624455478498</v>
      </c>
    </row>
    <row r="79" spans="2:3" x14ac:dyDescent="0.55000000000000004">
      <c r="B79">
        <v>78.176909191667505</v>
      </c>
      <c r="C79">
        <v>0</v>
      </c>
    </row>
    <row r="80" spans="2:3" x14ac:dyDescent="0.55000000000000004">
      <c r="B80">
        <v>146.28911523025801</v>
      </c>
      <c r="C80">
        <v>44.3852337637326</v>
      </c>
    </row>
    <row r="81" spans="2:3" x14ac:dyDescent="0.55000000000000004">
      <c r="B81">
        <v>127.004527109119</v>
      </c>
      <c r="C81">
        <v>25.8938249835854</v>
      </c>
    </row>
    <row r="82" spans="2:3" x14ac:dyDescent="0.55000000000000004">
      <c r="B82">
        <v>125.84774883499399</v>
      </c>
      <c r="C82">
        <v>24.784625253704</v>
      </c>
    </row>
    <row r="83" spans="2:3" x14ac:dyDescent="0.55000000000000004">
      <c r="B83">
        <v>74.223892309885102</v>
      </c>
      <c r="C83">
        <v>0</v>
      </c>
    </row>
    <row r="84" spans="2:3" x14ac:dyDescent="0.55000000000000004">
      <c r="B84">
        <v>113.149794711718</v>
      </c>
      <c r="C84">
        <v>12.6089407697991</v>
      </c>
    </row>
    <row r="85" spans="2:3" x14ac:dyDescent="0.55000000000000004">
      <c r="B85">
        <v>107.67811622187899</v>
      </c>
      <c r="C85">
        <v>7.3623136168835597</v>
      </c>
    </row>
    <row r="86" spans="2:3" x14ac:dyDescent="0.55000000000000004">
      <c r="B86">
        <v>101.629298756919</v>
      </c>
      <c r="C86">
        <v>1.5622853415339399</v>
      </c>
    </row>
    <row r="87" spans="2:3" x14ac:dyDescent="0.55000000000000004">
      <c r="B87">
        <v>107.192395510826</v>
      </c>
      <c r="C87">
        <v>6.8965707052564396</v>
      </c>
    </row>
    <row r="88" spans="2:3" x14ac:dyDescent="0.55000000000000004">
      <c r="B88">
        <v>76.914102690419497</v>
      </c>
      <c r="C88">
        <v>0</v>
      </c>
    </row>
    <row r="89" spans="2:3" x14ac:dyDescent="0.55000000000000004">
      <c r="B89">
        <v>88.263339073691995</v>
      </c>
      <c r="C89">
        <v>0</v>
      </c>
    </row>
    <row r="90" spans="2:3" x14ac:dyDescent="0.55000000000000004">
      <c r="B90">
        <v>75.421120087534803</v>
      </c>
      <c r="C90">
        <v>0</v>
      </c>
    </row>
    <row r="91" spans="2:3" x14ac:dyDescent="0.55000000000000004">
      <c r="B91">
        <v>143.86896594385399</v>
      </c>
      <c r="C91">
        <v>42.064625748525401</v>
      </c>
    </row>
    <row r="92" spans="2:3" x14ac:dyDescent="0.55000000000000004">
      <c r="B92">
        <v>134.641509829043</v>
      </c>
      <c r="C92">
        <v>33.216696928474299</v>
      </c>
    </row>
    <row r="93" spans="2:3" x14ac:dyDescent="0.55000000000000004">
      <c r="B93">
        <v>106.518011907164</v>
      </c>
      <c r="C93">
        <v>6.2499246471913397</v>
      </c>
    </row>
    <row r="94" spans="2:3" x14ac:dyDescent="0.55000000000000004">
      <c r="B94">
        <v>116.488508501521</v>
      </c>
      <c r="C94">
        <v>15.8103325288211</v>
      </c>
    </row>
    <row r="95" spans="2:3" x14ac:dyDescent="0.55000000000000004">
      <c r="B95">
        <v>133.51305361168099</v>
      </c>
      <c r="C95">
        <v>32.134654362947401</v>
      </c>
    </row>
    <row r="96" spans="2:3" x14ac:dyDescent="0.55000000000000004">
      <c r="B96">
        <v>110.239338132318</v>
      </c>
      <c r="C96">
        <v>9.8181919081435804</v>
      </c>
    </row>
    <row r="97" spans="2:3" x14ac:dyDescent="0.55000000000000004">
      <c r="B97">
        <v>100.054991463387</v>
      </c>
      <c r="C97">
        <v>5.27296524322039E-2</v>
      </c>
    </row>
    <row r="98" spans="2:3" x14ac:dyDescent="0.55000000000000004">
      <c r="B98">
        <v>89.276456942368995</v>
      </c>
      <c r="C98">
        <v>0</v>
      </c>
    </row>
    <row r="99" spans="2:3" x14ac:dyDescent="0.55000000000000004">
      <c r="B99">
        <v>102.999853668203</v>
      </c>
      <c r="C99">
        <v>2.8764690285800798</v>
      </c>
    </row>
    <row r="100" spans="2:3" x14ac:dyDescent="0.55000000000000004">
      <c r="B100">
        <v>80.332583426768295</v>
      </c>
      <c r="C100">
        <v>0</v>
      </c>
    </row>
    <row r="101" spans="2:3" x14ac:dyDescent="0.55000000000000004">
      <c r="B101">
        <v>106.06568241154601</v>
      </c>
      <c r="C101">
        <v>5.8161995629821899</v>
      </c>
    </row>
    <row r="102" spans="2:3" x14ac:dyDescent="0.55000000000000004">
      <c r="B102">
        <v>85.582040188418404</v>
      </c>
      <c r="C102">
        <v>0</v>
      </c>
    </row>
    <row r="103" spans="2:3" x14ac:dyDescent="0.55000000000000004">
      <c r="B103">
        <v>111.72123965412101</v>
      </c>
      <c r="C103">
        <v>11.239142495185</v>
      </c>
    </row>
    <row r="104" spans="2:3" x14ac:dyDescent="0.55000000000000004">
      <c r="B104">
        <v>101.357946260627</v>
      </c>
      <c r="C104">
        <v>1.3020936329571</v>
      </c>
    </row>
    <row r="105" spans="2:3" x14ac:dyDescent="0.55000000000000004">
      <c r="B105">
        <v>101.054227337791</v>
      </c>
      <c r="C105">
        <v>1.0108667360614301</v>
      </c>
    </row>
    <row r="106" spans="2:3" x14ac:dyDescent="0.55000000000000004">
      <c r="B106">
        <v>128.55173431745101</v>
      </c>
      <c r="C106">
        <v>27.377395219938599</v>
      </c>
    </row>
    <row r="107" spans="2:3" x14ac:dyDescent="0.55000000000000004">
      <c r="B107">
        <v>101.662701875466</v>
      </c>
      <c r="C107">
        <v>1.5943145824860501</v>
      </c>
    </row>
    <row r="108" spans="2:3" x14ac:dyDescent="0.55000000000000004">
      <c r="B108">
        <v>78.367119139815799</v>
      </c>
      <c r="C108">
        <v>0</v>
      </c>
    </row>
    <row r="109" spans="2:3" x14ac:dyDescent="0.55000000000000004">
      <c r="B109">
        <v>93.852973382191493</v>
      </c>
      <c r="C109">
        <v>0</v>
      </c>
    </row>
    <row r="110" spans="2:3" x14ac:dyDescent="0.55000000000000004">
      <c r="B110">
        <v>74.266223002338194</v>
      </c>
      <c r="C110">
        <v>0</v>
      </c>
    </row>
    <row r="111" spans="2:3" x14ac:dyDescent="0.55000000000000004">
      <c r="B111">
        <v>137.35084981906101</v>
      </c>
      <c r="C111">
        <v>35.814601170199602</v>
      </c>
    </row>
    <row r="112" spans="2:3" x14ac:dyDescent="0.55000000000000004">
      <c r="B112">
        <v>111.03582427013799</v>
      </c>
      <c r="C112">
        <v>10.5819183963438</v>
      </c>
    </row>
    <row r="113" spans="2:3" x14ac:dyDescent="0.55000000000000004">
      <c r="B113">
        <v>131.793836182391</v>
      </c>
      <c r="C113">
        <v>30.486148723767599</v>
      </c>
    </row>
    <row r="114" spans="2:3" x14ac:dyDescent="0.55000000000000004">
      <c r="B114">
        <v>144.01069927469001</v>
      </c>
      <c r="C114">
        <v>42.200529556363797</v>
      </c>
    </row>
    <row r="115" spans="2:3" x14ac:dyDescent="0.55000000000000004">
      <c r="B115">
        <v>111.99171696382901</v>
      </c>
      <c r="C115">
        <v>11.498495013794299</v>
      </c>
    </row>
    <row r="116" spans="2:3" x14ac:dyDescent="0.55000000000000004">
      <c r="B116">
        <v>93.368080081850295</v>
      </c>
      <c r="C116">
        <v>0</v>
      </c>
    </row>
    <row r="117" spans="2:3" x14ac:dyDescent="0.55000000000000004">
      <c r="B117">
        <v>99.340889187277298</v>
      </c>
      <c r="C117">
        <v>0</v>
      </c>
    </row>
    <row r="118" spans="2:3" x14ac:dyDescent="0.55000000000000004">
      <c r="B118">
        <v>150.759592508297</v>
      </c>
      <c r="C118">
        <v>48.671839330379903</v>
      </c>
    </row>
    <row r="119" spans="2:3" x14ac:dyDescent="0.55000000000000004">
      <c r="B119">
        <v>97.678772794984098</v>
      </c>
      <c r="C119">
        <v>0</v>
      </c>
    </row>
    <row r="120" spans="2:3" x14ac:dyDescent="0.55000000000000004">
      <c r="B120">
        <v>147.030126652928</v>
      </c>
      <c r="C120">
        <v>45.095767223990102</v>
      </c>
    </row>
    <row r="121" spans="2:3" x14ac:dyDescent="0.55000000000000004">
      <c r="B121">
        <v>64.174900984070007</v>
      </c>
      <c r="C121">
        <v>0</v>
      </c>
    </row>
    <row r="122" spans="2:3" x14ac:dyDescent="0.55000000000000004">
      <c r="B122">
        <v>95.107969146372895</v>
      </c>
      <c r="C122">
        <v>0</v>
      </c>
    </row>
    <row r="123" spans="2:3" x14ac:dyDescent="0.55000000000000004">
      <c r="B123">
        <v>98.391654970936798</v>
      </c>
      <c r="C123">
        <v>0</v>
      </c>
    </row>
    <row r="124" spans="2:3" x14ac:dyDescent="0.55000000000000004">
      <c r="B124">
        <v>81.235994502537807</v>
      </c>
      <c r="C124">
        <v>0</v>
      </c>
    </row>
    <row r="125" spans="2:3" x14ac:dyDescent="0.55000000000000004">
      <c r="B125">
        <v>133.47145726366199</v>
      </c>
      <c r="C125">
        <v>32.094768881849703</v>
      </c>
    </row>
    <row r="126" spans="2:3" x14ac:dyDescent="0.55000000000000004">
      <c r="B126">
        <v>122.36444330915</v>
      </c>
      <c r="C126">
        <v>21.444588848471099</v>
      </c>
    </row>
    <row r="127" spans="2:3" x14ac:dyDescent="0.55000000000000004">
      <c r="B127">
        <v>97.269707756054203</v>
      </c>
      <c r="C127">
        <v>0</v>
      </c>
    </row>
    <row r="128" spans="2:3" x14ac:dyDescent="0.55000000000000004">
      <c r="B128">
        <v>68.808524513473898</v>
      </c>
      <c r="C128">
        <v>0</v>
      </c>
    </row>
    <row r="129" spans="2:3" x14ac:dyDescent="0.55000000000000004">
      <c r="B129">
        <v>140.88745097864401</v>
      </c>
      <c r="C129">
        <v>39.205741148060703</v>
      </c>
    </row>
    <row r="130" spans="2:3" x14ac:dyDescent="0.55000000000000004">
      <c r="B130">
        <v>131.89662157792401</v>
      </c>
      <c r="C130">
        <v>30.5847065334276</v>
      </c>
    </row>
    <row r="131" spans="2:3" x14ac:dyDescent="0.55000000000000004">
      <c r="B131">
        <v>127.744870278487</v>
      </c>
      <c r="C131">
        <v>26.603717675945301</v>
      </c>
    </row>
    <row r="132" spans="2:3" x14ac:dyDescent="0.55000000000000004">
      <c r="B132">
        <v>67.753271695633998</v>
      </c>
      <c r="C132">
        <v>0</v>
      </c>
    </row>
    <row r="133" spans="2:3" x14ac:dyDescent="0.55000000000000004">
      <c r="B133">
        <v>108.72169080954799</v>
      </c>
      <c r="C133">
        <v>8.3629657527724799</v>
      </c>
    </row>
    <row r="134" spans="2:3" x14ac:dyDescent="0.55000000000000004">
      <c r="B134">
        <v>106.15512784871299</v>
      </c>
      <c r="C134">
        <v>5.9019660896919497</v>
      </c>
    </row>
    <row r="135" spans="2:3" x14ac:dyDescent="0.55000000000000004">
      <c r="B135">
        <v>91.779011068700697</v>
      </c>
      <c r="C135">
        <v>0</v>
      </c>
    </row>
    <row r="136" spans="2:3" x14ac:dyDescent="0.55000000000000004">
      <c r="B136">
        <v>100.905172742101</v>
      </c>
      <c r="C136">
        <v>0.86794278859896201</v>
      </c>
    </row>
    <row r="137" spans="2:3" x14ac:dyDescent="0.55000000000000004">
      <c r="B137">
        <v>153.52306033893299</v>
      </c>
      <c r="C137">
        <v>51.321645122760998</v>
      </c>
    </row>
    <row r="138" spans="2:3" x14ac:dyDescent="0.55000000000000004">
      <c r="B138">
        <v>97.214751908720203</v>
      </c>
      <c r="C138">
        <v>0</v>
      </c>
    </row>
    <row r="139" spans="2:3" x14ac:dyDescent="0.55000000000000004">
      <c r="B139">
        <v>119.814377968626</v>
      </c>
      <c r="C139">
        <v>18.999408254957299</v>
      </c>
    </row>
    <row r="140" spans="2:3" x14ac:dyDescent="0.55000000000000004">
      <c r="B140">
        <v>85.455996901308794</v>
      </c>
      <c r="C140">
        <v>0</v>
      </c>
    </row>
    <row r="141" spans="2:3" x14ac:dyDescent="0.55000000000000004">
      <c r="B141">
        <v>150.95764275358999</v>
      </c>
      <c r="C141">
        <v>48.861743725626702</v>
      </c>
    </row>
    <row r="142" spans="2:3" x14ac:dyDescent="0.55000000000000004">
      <c r="B142">
        <v>112.291693502294</v>
      </c>
      <c r="C142">
        <v>11.786133451408899</v>
      </c>
    </row>
    <row r="143" spans="2:3" x14ac:dyDescent="0.55000000000000004">
      <c r="B143">
        <v>77.837569072018297</v>
      </c>
      <c r="C143">
        <v>0</v>
      </c>
    </row>
    <row r="144" spans="2:3" x14ac:dyDescent="0.55000000000000004">
      <c r="B144">
        <v>103.34604593044401</v>
      </c>
      <c r="C144">
        <v>3.2084223271111498</v>
      </c>
    </row>
    <row r="145" spans="2:3" x14ac:dyDescent="0.55000000000000004">
      <c r="B145">
        <v>110.173366410657</v>
      </c>
      <c r="C145">
        <v>9.7549336178705204</v>
      </c>
    </row>
    <row r="146" spans="2:3" x14ac:dyDescent="0.55000000000000004">
      <c r="B146">
        <v>101.117211598073</v>
      </c>
      <c r="C146">
        <v>1.0712604398974099</v>
      </c>
    </row>
    <row r="147" spans="2:3" x14ac:dyDescent="0.55000000000000004">
      <c r="B147">
        <v>85.530881115786897</v>
      </c>
      <c r="C147">
        <v>0</v>
      </c>
    </row>
    <row r="148" spans="2:3" x14ac:dyDescent="0.55000000000000004">
      <c r="B148">
        <v>103.54229083336899</v>
      </c>
      <c r="C148">
        <v>3.3965956341172099</v>
      </c>
    </row>
    <row r="149" spans="2:3" x14ac:dyDescent="0.55000000000000004">
      <c r="B149">
        <v>115.46504949535699</v>
      </c>
      <c r="C149">
        <v>14.8289686161565</v>
      </c>
    </row>
    <row r="150" spans="2:3" x14ac:dyDescent="0.55000000000000004">
      <c r="B150">
        <v>142.81442095199699</v>
      </c>
      <c r="C150">
        <v>41.053454423579701</v>
      </c>
    </row>
    <row r="151" spans="2:3" x14ac:dyDescent="0.55000000000000004">
      <c r="B151">
        <v>130.58993854512499</v>
      </c>
      <c r="C151">
        <v>29.331767660489898</v>
      </c>
    </row>
    <row r="152" spans="2:3" x14ac:dyDescent="0.55000000000000004">
      <c r="B152">
        <v>54.438514336715798</v>
      </c>
      <c r="C152">
        <v>0</v>
      </c>
    </row>
    <row r="153" spans="2:3" x14ac:dyDescent="0.55000000000000004">
      <c r="B153">
        <v>89.747739624448201</v>
      </c>
      <c r="C153">
        <v>0</v>
      </c>
    </row>
    <row r="154" spans="2:3" x14ac:dyDescent="0.55000000000000004">
      <c r="B154">
        <v>117.818952732124</v>
      </c>
      <c r="C154">
        <v>17.086055296284002</v>
      </c>
    </row>
    <row r="155" spans="2:3" x14ac:dyDescent="0.55000000000000004">
      <c r="B155">
        <v>92.430155917967994</v>
      </c>
      <c r="C155">
        <v>0</v>
      </c>
    </row>
    <row r="156" spans="2:3" x14ac:dyDescent="0.55000000000000004">
      <c r="B156">
        <v>101.070144567837</v>
      </c>
      <c r="C156">
        <v>1.02612928694289</v>
      </c>
    </row>
    <row r="157" spans="2:3" x14ac:dyDescent="0.55000000000000004">
      <c r="B157">
        <v>90.702457582880299</v>
      </c>
      <c r="C157">
        <v>0</v>
      </c>
    </row>
    <row r="158" spans="2:3" x14ac:dyDescent="0.55000000000000004">
      <c r="B158">
        <v>162.40150250698099</v>
      </c>
      <c r="C158">
        <v>59.834915016263103</v>
      </c>
    </row>
    <row r="159" spans="2:3" x14ac:dyDescent="0.55000000000000004">
      <c r="B159">
        <v>85.016645712062996</v>
      </c>
      <c r="C159">
        <v>0</v>
      </c>
    </row>
    <row r="160" spans="2:3" x14ac:dyDescent="0.55000000000000004">
      <c r="B160">
        <v>103.336214224822</v>
      </c>
      <c r="C160">
        <v>3.19899500169829</v>
      </c>
    </row>
    <row r="161" spans="2:3" x14ac:dyDescent="0.55000000000000004">
      <c r="B161">
        <v>89.9485753004803</v>
      </c>
      <c r="C161">
        <v>0</v>
      </c>
    </row>
    <row r="162" spans="2:3" x14ac:dyDescent="0.55000000000000004">
      <c r="B162">
        <v>143.93344178847099</v>
      </c>
      <c r="C162">
        <v>42.126449687505797</v>
      </c>
    </row>
    <row r="163" spans="2:3" x14ac:dyDescent="0.55000000000000004">
      <c r="B163">
        <v>95.047155198640695</v>
      </c>
      <c r="C163">
        <v>0</v>
      </c>
    </row>
    <row r="164" spans="2:3" x14ac:dyDescent="0.55000000000000004">
      <c r="B164">
        <v>101.03477431732399</v>
      </c>
      <c r="C164">
        <v>0.99221382259511304</v>
      </c>
    </row>
    <row r="165" spans="2:3" x14ac:dyDescent="0.55000000000000004">
      <c r="B165">
        <v>120.86813737639601</v>
      </c>
      <c r="C165">
        <v>20.0098263070619</v>
      </c>
    </row>
    <row r="166" spans="2:3" x14ac:dyDescent="0.55000000000000004">
      <c r="B166">
        <v>109.308466310328</v>
      </c>
      <c r="C166">
        <v>8.9256070484514005</v>
      </c>
    </row>
    <row r="167" spans="2:3" x14ac:dyDescent="0.55000000000000004">
      <c r="B167">
        <v>100.676206219896</v>
      </c>
      <c r="C167">
        <v>0.64839370969393295</v>
      </c>
    </row>
    <row r="168" spans="2:3" x14ac:dyDescent="0.55000000000000004">
      <c r="B168">
        <v>104.013635071167</v>
      </c>
      <c r="C168">
        <v>3.8485533799882301</v>
      </c>
    </row>
    <row r="169" spans="2:3" x14ac:dyDescent="0.55000000000000004">
      <c r="B169">
        <v>103.947895073384</v>
      </c>
      <c r="C169">
        <v>3.7855172827394101</v>
      </c>
    </row>
    <row r="170" spans="2:3" x14ac:dyDescent="0.55000000000000004">
      <c r="B170">
        <v>86.436311467503302</v>
      </c>
      <c r="C170">
        <v>0</v>
      </c>
    </row>
    <row r="171" spans="2:3" x14ac:dyDescent="0.55000000000000004">
      <c r="B171">
        <v>94.429923416215104</v>
      </c>
      <c r="C171">
        <v>0</v>
      </c>
    </row>
    <row r="172" spans="2:3" x14ac:dyDescent="0.55000000000000004">
      <c r="B172">
        <v>91.523013541502095</v>
      </c>
      <c r="C172">
        <v>0</v>
      </c>
    </row>
    <row r="173" spans="2:3" x14ac:dyDescent="0.55000000000000004">
      <c r="B173">
        <v>104.511119544433</v>
      </c>
      <c r="C173">
        <v>4.3255762077075604</v>
      </c>
    </row>
    <row r="174" spans="2:3" x14ac:dyDescent="0.55000000000000004">
      <c r="B174">
        <v>117.00467832441799</v>
      </c>
      <c r="C174">
        <v>16.305272173640699</v>
      </c>
    </row>
    <row r="175" spans="2:3" x14ac:dyDescent="0.55000000000000004">
      <c r="B175">
        <v>140.998872215342</v>
      </c>
      <c r="C175">
        <v>39.312579604844302</v>
      </c>
    </row>
    <row r="176" spans="2:3" x14ac:dyDescent="0.55000000000000004">
      <c r="B176">
        <v>68.786017950217598</v>
      </c>
      <c r="C176">
        <v>0</v>
      </c>
    </row>
    <row r="177" spans="2:3" x14ac:dyDescent="0.55000000000000004">
      <c r="B177">
        <v>80.616830180291799</v>
      </c>
      <c r="C177">
        <v>0</v>
      </c>
    </row>
    <row r="178" spans="2:3" x14ac:dyDescent="0.55000000000000004">
      <c r="B178">
        <v>142.788095814954</v>
      </c>
      <c r="C178">
        <v>41.028212045199801</v>
      </c>
    </row>
    <row r="179" spans="2:3" x14ac:dyDescent="0.55000000000000004">
      <c r="B179">
        <v>133.11660942902799</v>
      </c>
      <c r="C179">
        <v>31.754516016517499</v>
      </c>
    </row>
    <row r="180" spans="2:3" x14ac:dyDescent="0.55000000000000004">
      <c r="B180">
        <v>105.675671997314</v>
      </c>
      <c r="C180">
        <v>5.4422303626659696</v>
      </c>
    </row>
    <row r="181" spans="2:3" x14ac:dyDescent="0.55000000000000004">
      <c r="B181">
        <v>73.720675585947404</v>
      </c>
      <c r="C181">
        <v>0</v>
      </c>
    </row>
    <row r="182" spans="2:3" x14ac:dyDescent="0.55000000000000004">
      <c r="B182">
        <v>114.274596129602</v>
      </c>
      <c r="C182">
        <v>13.6874788585527</v>
      </c>
    </row>
    <row r="183" spans="2:3" x14ac:dyDescent="0.55000000000000004">
      <c r="B183">
        <v>115.51236873363</v>
      </c>
      <c r="C183">
        <v>14.8743416037755</v>
      </c>
    </row>
    <row r="184" spans="2:3" x14ac:dyDescent="0.55000000000000004">
      <c r="B184">
        <v>122.405868044229</v>
      </c>
      <c r="C184">
        <v>21.484309775106698</v>
      </c>
    </row>
    <row r="185" spans="2:3" x14ac:dyDescent="0.55000000000000004">
      <c r="B185">
        <v>105.25129743754199</v>
      </c>
      <c r="C185">
        <v>5.03531042165719</v>
      </c>
    </row>
    <row r="186" spans="2:3" x14ac:dyDescent="0.55000000000000004">
      <c r="B186">
        <v>154.66152107739899</v>
      </c>
      <c r="C186">
        <v>52.413280721244497</v>
      </c>
    </row>
    <row r="187" spans="2:3" x14ac:dyDescent="0.55000000000000004">
      <c r="B187">
        <v>95.283548328696796</v>
      </c>
      <c r="C187">
        <v>0</v>
      </c>
    </row>
    <row r="188" spans="2:3" x14ac:dyDescent="0.55000000000000004">
      <c r="B188">
        <v>95.731554733129599</v>
      </c>
      <c r="C188">
        <v>0</v>
      </c>
    </row>
    <row r="189" spans="2:3" x14ac:dyDescent="0.55000000000000004">
      <c r="B189">
        <v>87.274307061809196</v>
      </c>
      <c r="C189">
        <v>0</v>
      </c>
    </row>
    <row r="190" spans="2:3" x14ac:dyDescent="0.55000000000000004">
      <c r="B190">
        <v>112.28078677422199</v>
      </c>
      <c r="C190">
        <v>11.7756753194565</v>
      </c>
    </row>
    <row r="191" spans="2:3" x14ac:dyDescent="0.55000000000000004">
      <c r="B191">
        <v>105.845977190315</v>
      </c>
      <c r="C191">
        <v>5.6055308657098903</v>
      </c>
    </row>
    <row r="192" spans="2:3" x14ac:dyDescent="0.55000000000000004">
      <c r="B192">
        <v>106.928795184926</v>
      </c>
      <c r="C192">
        <v>6.6438123186018698</v>
      </c>
    </row>
    <row r="193" spans="2:3" x14ac:dyDescent="0.55000000000000004">
      <c r="B193">
        <v>132.665084953475</v>
      </c>
      <c r="C193">
        <v>31.321562841720599</v>
      </c>
    </row>
    <row r="194" spans="2:3" x14ac:dyDescent="0.55000000000000004">
      <c r="B194">
        <v>100.08435752210301</v>
      </c>
      <c r="C194">
        <v>8.0887878708587796E-2</v>
      </c>
    </row>
    <row r="195" spans="2:3" x14ac:dyDescent="0.55000000000000004">
      <c r="B195">
        <v>117.921836608782</v>
      </c>
      <c r="C195">
        <v>17.1847075365188</v>
      </c>
    </row>
    <row r="196" spans="2:3" x14ac:dyDescent="0.55000000000000004">
      <c r="B196">
        <v>89.673926853134404</v>
      </c>
      <c r="C196">
        <v>0</v>
      </c>
    </row>
    <row r="197" spans="2:3" x14ac:dyDescent="0.55000000000000004">
      <c r="B197">
        <v>104.95937732600299</v>
      </c>
      <c r="C197">
        <v>4.75539704836119</v>
      </c>
    </row>
    <row r="198" spans="2:3" x14ac:dyDescent="0.55000000000000004">
      <c r="B198">
        <v>110.610345307356</v>
      </c>
      <c r="C198">
        <v>10.1739394766629</v>
      </c>
    </row>
    <row r="199" spans="2:3" x14ac:dyDescent="0.55000000000000004">
      <c r="B199">
        <v>104.61192734037</v>
      </c>
      <c r="C199">
        <v>4.4222377568771902</v>
      </c>
    </row>
    <row r="200" spans="2:3" x14ac:dyDescent="0.55000000000000004">
      <c r="B200">
        <v>61.465988614613998</v>
      </c>
      <c r="C200">
        <v>0</v>
      </c>
    </row>
    <row r="201" spans="2:3" x14ac:dyDescent="0.55000000000000004">
      <c r="B201">
        <v>142.97207097484099</v>
      </c>
      <c r="C201">
        <v>41.204620266391501</v>
      </c>
    </row>
    <row r="202" spans="2:3" x14ac:dyDescent="0.55000000000000004">
      <c r="B202">
        <v>100.36516391441</v>
      </c>
      <c r="C202">
        <v>0.35014464248423699</v>
      </c>
    </row>
    <row r="203" spans="2:3" x14ac:dyDescent="0.55000000000000004">
      <c r="B203">
        <v>102.754554280132</v>
      </c>
      <c r="C203">
        <v>2.6412588581656</v>
      </c>
    </row>
    <row r="204" spans="2:3" x14ac:dyDescent="0.55000000000000004">
      <c r="B204">
        <v>120.300902974789</v>
      </c>
      <c r="C204">
        <v>19.465922380859599</v>
      </c>
    </row>
    <row r="205" spans="2:3" x14ac:dyDescent="0.55000000000000004">
      <c r="B205">
        <v>92.225188500719298</v>
      </c>
      <c r="C205">
        <v>0</v>
      </c>
    </row>
    <row r="206" spans="2:3" x14ac:dyDescent="0.55000000000000004">
      <c r="B206">
        <v>101.61420646805099</v>
      </c>
      <c r="C206">
        <v>1.54781380181919</v>
      </c>
    </row>
    <row r="207" spans="2:3" x14ac:dyDescent="0.55000000000000004">
      <c r="B207">
        <v>92.175089529903204</v>
      </c>
      <c r="C207">
        <v>0</v>
      </c>
    </row>
    <row r="208" spans="2:3" x14ac:dyDescent="0.55000000000000004">
      <c r="B208">
        <v>173.15927961001501</v>
      </c>
      <c r="C208">
        <v>70.150222386496395</v>
      </c>
    </row>
    <row r="209" spans="2:3" x14ac:dyDescent="0.55000000000000004">
      <c r="B209">
        <v>66.579384089235603</v>
      </c>
      <c r="C209">
        <v>0</v>
      </c>
    </row>
    <row r="210" spans="2:3" x14ac:dyDescent="0.55000000000000004">
      <c r="B210">
        <v>97.093822872036</v>
      </c>
      <c r="C210">
        <v>0</v>
      </c>
    </row>
    <row r="211" spans="2:3" x14ac:dyDescent="0.55000000000000004">
      <c r="B211">
        <v>85.408282367494095</v>
      </c>
      <c r="C211">
        <v>0</v>
      </c>
    </row>
    <row r="212" spans="2:3" x14ac:dyDescent="0.55000000000000004">
      <c r="B212">
        <v>85.090480837155297</v>
      </c>
      <c r="C212">
        <v>0</v>
      </c>
    </row>
    <row r="213" spans="2:3" x14ac:dyDescent="0.55000000000000004">
      <c r="B213">
        <v>106.47222679085201</v>
      </c>
      <c r="C213">
        <v>6.2060226827600804</v>
      </c>
    </row>
    <row r="214" spans="2:3" x14ac:dyDescent="0.55000000000000004">
      <c r="B214">
        <v>100.475109209965</v>
      </c>
      <c r="C214">
        <v>0.45556786390803</v>
      </c>
    </row>
    <row r="215" spans="2:3" x14ac:dyDescent="0.55000000000000004">
      <c r="B215">
        <v>91.142658348178799</v>
      </c>
      <c r="C215">
        <v>0</v>
      </c>
    </row>
    <row r="216" spans="2:3" x14ac:dyDescent="0.55000000000000004">
      <c r="B216">
        <v>113.19569474087599</v>
      </c>
      <c r="C216">
        <v>12.6529529206856</v>
      </c>
    </row>
    <row r="217" spans="2:3" x14ac:dyDescent="0.55000000000000004">
      <c r="B217">
        <v>91.828398020395298</v>
      </c>
      <c r="C217">
        <v>0</v>
      </c>
    </row>
    <row r="218" spans="2:3" x14ac:dyDescent="0.55000000000000004">
      <c r="B218">
        <v>106.28356352885901</v>
      </c>
      <c r="C218">
        <v>6.0251191821305001</v>
      </c>
    </row>
    <row r="219" spans="2:3" x14ac:dyDescent="0.55000000000000004">
      <c r="B219">
        <v>123.212425745413</v>
      </c>
      <c r="C219">
        <v>22.257693581059801</v>
      </c>
    </row>
    <row r="220" spans="2:3" x14ac:dyDescent="0.55000000000000004">
      <c r="B220">
        <v>83.355811522577199</v>
      </c>
      <c r="C220">
        <v>0</v>
      </c>
    </row>
    <row r="221" spans="2:3" x14ac:dyDescent="0.55000000000000004">
      <c r="B221">
        <v>88.286227816459899</v>
      </c>
      <c r="C221">
        <v>0</v>
      </c>
    </row>
    <row r="222" spans="2:3" x14ac:dyDescent="0.55000000000000004">
      <c r="B222">
        <v>133.5127421805</v>
      </c>
      <c r="C222">
        <v>32.134355740998799</v>
      </c>
    </row>
    <row r="223" spans="2:3" x14ac:dyDescent="0.55000000000000004">
      <c r="B223">
        <v>113.276553416314</v>
      </c>
      <c r="C223">
        <v>12.7304858610607</v>
      </c>
    </row>
    <row r="224" spans="2:3" x14ac:dyDescent="0.55000000000000004">
      <c r="B224">
        <v>89.088303464758695</v>
      </c>
      <c r="C224">
        <v>0</v>
      </c>
    </row>
    <row r="225" spans="2:3" x14ac:dyDescent="0.55000000000000004">
      <c r="B225">
        <v>133.28215459065299</v>
      </c>
      <c r="C225">
        <v>31.913252269318999</v>
      </c>
    </row>
    <row r="226" spans="2:3" x14ac:dyDescent="0.55000000000000004">
      <c r="B226">
        <v>85.095698131558905</v>
      </c>
      <c r="C226">
        <v>0</v>
      </c>
    </row>
    <row r="227" spans="2:3" x14ac:dyDescent="0.55000000000000004">
      <c r="B227">
        <v>81.076044382979902</v>
      </c>
      <c r="C227">
        <v>0</v>
      </c>
    </row>
    <row r="228" spans="2:3" x14ac:dyDescent="0.55000000000000004">
      <c r="B228">
        <v>102.346050163955</v>
      </c>
      <c r="C228">
        <v>2.2495566059243299</v>
      </c>
    </row>
    <row r="229" spans="2:3" x14ac:dyDescent="0.55000000000000004">
      <c r="B229">
        <v>129.95047709194699</v>
      </c>
      <c r="C229">
        <v>28.7186073971966</v>
      </c>
    </row>
    <row r="230" spans="2:3" x14ac:dyDescent="0.55000000000000004">
      <c r="B230">
        <v>121.287356936175</v>
      </c>
      <c r="C230">
        <v>20.4118032743587</v>
      </c>
    </row>
    <row r="231" spans="2:3" x14ac:dyDescent="0.55000000000000004">
      <c r="B231">
        <v>91.697170885887502</v>
      </c>
      <c r="C231">
        <v>0</v>
      </c>
    </row>
    <row r="232" spans="2:3" x14ac:dyDescent="0.55000000000000004">
      <c r="B232">
        <v>117.750377128659</v>
      </c>
      <c r="C232">
        <v>17.0203002224366</v>
      </c>
    </row>
    <row r="233" spans="2:3" x14ac:dyDescent="0.55000000000000004">
      <c r="B233">
        <v>93.750814128456497</v>
      </c>
      <c r="C233">
        <v>0</v>
      </c>
    </row>
    <row r="234" spans="2:3" x14ac:dyDescent="0.55000000000000004">
      <c r="B234">
        <v>113.982269944018</v>
      </c>
      <c r="C234">
        <v>13.4071761131264</v>
      </c>
    </row>
    <row r="235" spans="2:3" x14ac:dyDescent="0.55000000000000004">
      <c r="B235">
        <v>125.45415872318399</v>
      </c>
      <c r="C235">
        <v>24.407223589557201</v>
      </c>
    </row>
    <row r="236" spans="2:3" x14ac:dyDescent="0.55000000000000004">
      <c r="B236">
        <v>103.360479167262</v>
      </c>
      <c r="C236">
        <v>3.22226192173162</v>
      </c>
    </row>
    <row r="237" spans="2:3" x14ac:dyDescent="0.55000000000000004">
      <c r="B237">
        <v>138.78523349297299</v>
      </c>
      <c r="C237">
        <v>37.189988328860402</v>
      </c>
    </row>
    <row r="238" spans="2:3" x14ac:dyDescent="0.55000000000000004">
      <c r="B238">
        <v>91.769959566971906</v>
      </c>
      <c r="C238">
        <v>0</v>
      </c>
    </row>
    <row r="239" spans="2:3" x14ac:dyDescent="0.55000000000000004">
      <c r="B239">
        <v>103.57263960796099</v>
      </c>
      <c r="C239">
        <v>3.4256961569508202</v>
      </c>
    </row>
    <row r="240" spans="2:3" x14ac:dyDescent="0.55000000000000004">
      <c r="B240">
        <v>98.182529467251598</v>
      </c>
      <c r="C240">
        <v>0</v>
      </c>
    </row>
    <row r="241" spans="2:3" x14ac:dyDescent="0.55000000000000004">
      <c r="B241">
        <v>166.77872333827199</v>
      </c>
      <c r="C241">
        <v>64.032099794279603</v>
      </c>
    </row>
    <row r="242" spans="2:3" x14ac:dyDescent="0.55000000000000004">
      <c r="B242">
        <v>88.678298478009907</v>
      </c>
      <c r="C242">
        <v>0</v>
      </c>
    </row>
    <row r="243" spans="2:3" x14ac:dyDescent="0.55000000000000004">
      <c r="B243">
        <v>66.068170388833096</v>
      </c>
      <c r="C243">
        <v>0</v>
      </c>
    </row>
    <row r="244" spans="2:3" x14ac:dyDescent="0.55000000000000004">
      <c r="B244">
        <v>97.834619601253706</v>
      </c>
      <c r="C244">
        <v>0</v>
      </c>
    </row>
    <row r="245" spans="2:3" x14ac:dyDescent="0.55000000000000004">
      <c r="B245">
        <v>150.23283719900601</v>
      </c>
      <c r="C245">
        <v>48.166749582544902</v>
      </c>
    </row>
    <row r="246" spans="2:3" x14ac:dyDescent="0.55000000000000004">
      <c r="B246">
        <v>103.368548460705</v>
      </c>
      <c r="C246">
        <v>3.2299993233640598</v>
      </c>
    </row>
    <row r="247" spans="2:3" x14ac:dyDescent="0.55000000000000004">
      <c r="B247">
        <v>91.383330669021703</v>
      </c>
      <c r="C247">
        <v>0</v>
      </c>
    </row>
    <row r="248" spans="2:3" x14ac:dyDescent="0.55000000000000004">
      <c r="B248">
        <v>102.002126877823</v>
      </c>
      <c r="C248">
        <v>1.9197789600172299</v>
      </c>
    </row>
    <row r="249" spans="2:3" x14ac:dyDescent="0.55000000000000004">
      <c r="B249">
        <v>97.406356326764296</v>
      </c>
      <c r="C249">
        <v>0</v>
      </c>
    </row>
    <row r="250" spans="2:3" x14ac:dyDescent="0.55000000000000004">
      <c r="B250">
        <v>115.552757463079</v>
      </c>
      <c r="C250">
        <v>14.913069135919899</v>
      </c>
    </row>
    <row r="251" spans="2:3" x14ac:dyDescent="0.55000000000000004">
      <c r="B251">
        <v>110.407148764038</v>
      </c>
      <c r="C251">
        <v>9.9791004517591197</v>
      </c>
    </row>
    <row r="252" spans="2:3" x14ac:dyDescent="0.55000000000000004">
      <c r="B252">
        <v>103.12869490608399</v>
      </c>
      <c r="C252">
        <v>3.0000109980757701</v>
      </c>
    </row>
    <row r="253" spans="2:3" x14ac:dyDescent="0.55000000000000004">
      <c r="B253">
        <v>101.154702266537</v>
      </c>
      <c r="C253">
        <v>1.10720910894138</v>
      </c>
    </row>
    <row r="254" spans="2:3" x14ac:dyDescent="0.55000000000000004">
      <c r="B254">
        <v>103.633824666207</v>
      </c>
      <c r="C254">
        <v>3.4843646603249399</v>
      </c>
    </row>
    <row r="255" spans="2:3" x14ac:dyDescent="0.55000000000000004">
      <c r="B255">
        <v>121.75292127191599</v>
      </c>
      <c r="C255">
        <v>20.858218846813301</v>
      </c>
    </row>
    <row r="256" spans="2:3" x14ac:dyDescent="0.55000000000000004">
      <c r="B256">
        <v>72.424683814274701</v>
      </c>
      <c r="C256">
        <v>0</v>
      </c>
    </row>
    <row r="257" spans="2:3" x14ac:dyDescent="0.55000000000000004">
      <c r="B257">
        <v>123.972319667119</v>
      </c>
      <c r="C257">
        <v>22.986332899024401</v>
      </c>
    </row>
    <row r="258" spans="2:3" x14ac:dyDescent="0.55000000000000004">
      <c r="B258">
        <v>102.821074079583</v>
      </c>
      <c r="C258">
        <v>2.7050426836688799</v>
      </c>
    </row>
    <row r="259" spans="2:3" x14ac:dyDescent="0.55000000000000004">
      <c r="B259">
        <v>74.159364186601493</v>
      </c>
      <c r="C259">
        <v>0</v>
      </c>
    </row>
    <row r="260" spans="2:3" x14ac:dyDescent="0.55000000000000004">
      <c r="B260">
        <v>125.1828587791</v>
      </c>
      <c r="C260">
        <v>24.1470822717041</v>
      </c>
    </row>
    <row r="261" spans="2:3" x14ac:dyDescent="0.55000000000000004">
      <c r="B261">
        <v>113.364636664233</v>
      </c>
      <c r="C261">
        <v>12.814946225664899</v>
      </c>
    </row>
    <row r="262" spans="2:3" x14ac:dyDescent="0.55000000000000004">
      <c r="B262">
        <v>103.318394804923</v>
      </c>
      <c r="C262">
        <v>3.1819084984499701</v>
      </c>
    </row>
    <row r="263" spans="2:3" x14ac:dyDescent="0.55000000000000004">
      <c r="B263">
        <v>83.311747858103203</v>
      </c>
      <c r="C263">
        <v>0</v>
      </c>
    </row>
    <row r="264" spans="2:3" x14ac:dyDescent="0.55000000000000004">
      <c r="B264">
        <v>90.051117780621198</v>
      </c>
      <c r="C264">
        <v>0</v>
      </c>
    </row>
    <row r="265" spans="2:3" x14ac:dyDescent="0.55000000000000004">
      <c r="B265">
        <v>95.667869242910996</v>
      </c>
      <c r="C265">
        <v>0</v>
      </c>
    </row>
    <row r="266" spans="2:3" x14ac:dyDescent="0.55000000000000004">
      <c r="B266">
        <v>87.713346224882898</v>
      </c>
      <c r="C266">
        <v>0</v>
      </c>
    </row>
    <row r="267" spans="2:3" x14ac:dyDescent="0.55000000000000004">
      <c r="B267">
        <v>93.1804032075772</v>
      </c>
      <c r="C267">
        <v>0</v>
      </c>
    </row>
    <row r="268" spans="2:3" x14ac:dyDescent="0.55000000000000004">
      <c r="B268">
        <v>127.817646487678</v>
      </c>
      <c r="C268">
        <v>26.673500583683101</v>
      </c>
    </row>
    <row r="269" spans="2:3" x14ac:dyDescent="0.55000000000000004">
      <c r="B269">
        <v>71.8409800895773</v>
      </c>
      <c r="C269">
        <v>0</v>
      </c>
    </row>
    <row r="270" spans="2:3" x14ac:dyDescent="0.55000000000000004">
      <c r="B270">
        <v>79.729176492391701</v>
      </c>
      <c r="C270">
        <v>0</v>
      </c>
    </row>
    <row r="271" spans="2:3" x14ac:dyDescent="0.55000000000000004">
      <c r="B271">
        <v>117.445367935926</v>
      </c>
      <c r="C271">
        <v>16.727836124728</v>
      </c>
    </row>
    <row r="272" spans="2:3" x14ac:dyDescent="0.55000000000000004">
      <c r="B272">
        <v>71.622723608985694</v>
      </c>
      <c r="C272">
        <v>0</v>
      </c>
    </row>
    <row r="273" spans="2:3" x14ac:dyDescent="0.55000000000000004">
      <c r="B273">
        <v>97.757115578989897</v>
      </c>
      <c r="C273">
        <v>0</v>
      </c>
    </row>
    <row r="274" spans="2:3" x14ac:dyDescent="0.55000000000000004">
      <c r="B274">
        <v>138.77062904157799</v>
      </c>
      <c r="C274">
        <v>37.175984561755101</v>
      </c>
    </row>
    <row r="275" spans="2:3" x14ac:dyDescent="0.55000000000000004">
      <c r="B275">
        <v>104.31336685405201</v>
      </c>
      <c r="C275">
        <v>4.13595712887407</v>
      </c>
    </row>
    <row r="276" spans="2:3" x14ac:dyDescent="0.55000000000000004">
      <c r="B276">
        <v>85.5159265586515</v>
      </c>
      <c r="C276">
        <v>0</v>
      </c>
    </row>
    <row r="277" spans="2:3" x14ac:dyDescent="0.55000000000000004">
      <c r="B277">
        <v>108.06631492308099</v>
      </c>
      <c r="C277">
        <v>7.7345456203234999</v>
      </c>
    </row>
    <row r="278" spans="2:3" x14ac:dyDescent="0.55000000000000004">
      <c r="B278">
        <v>79.727255973647303</v>
      </c>
      <c r="C278">
        <v>0</v>
      </c>
    </row>
    <row r="279" spans="2:3" x14ac:dyDescent="0.55000000000000004">
      <c r="B279">
        <v>99.272823923069197</v>
      </c>
      <c r="C279">
        <v>0</v>
      </c>
    </row>
    <row r="280" spans="2:3" x14ac:dyDescent="0.55000000000000004">
      <c r="B280">
        <v>96.501555976259297</v>
      </c>
      <c r="C280">
        <v>0</v>
      </c>
    </row>
    <row r="281" spans="2:3" x14ac:dyDescent="0.55000000000000004">
      <c r="B281">
        <v>101.00871331464</v>
      </c>
      <c r="C281">
        <v>0.96722471466984095</v>
      </c>
    </row>
    <row r="282" spans="2:3" x14ac:dyDescent="0.55000000000000004">
      <c r="B282">
        <v>110.666341538873</v>
      </c>
      <c r="C282">
        <v>10.2276325708904</v>
      </c>
    </row>
    <row r="283" spans="2:3" x14ac:dyDescent="0.55000000000000004">
      <c r="B283">
        <v>92.110061904602205</v>
      </c>
      <c r="C283">
        <v>0</v>
      </c>
    </row>
    <row r="284" spans="2:3" x14ac:dyDescent="0.55000000000000004">
      <c r="B284">
        <v>119.89342029775401</v>
      </c>
      <c r="C284">
        <v>19.075199555744</v>
      </c>
    </row>
    <row r="285" spans="2:3" x14ac:dyDescent="0.55000000000000004">
      <c r="B285">
        <v>93.336792637013801</v>
      </c>
      <c r="C285">
        <v>0</v>
      </c>
    </row>
    <row r="286" spans="2:3" x14ac:dyDescent="0.55000000000000004">
      <c r="B286">
        <v>167.22615467442199</v>
      </c>
      <c r="C286">
        <v>64.461128181395594</v>
      </c>
    </row>
    <row r="287" spans="2:3" x14ac:dyDescent="0.55000000000000004">
      <c r="B287">
        <v>127.89784531566001</v>
      </c>
      <c r="C287">
        <v>26.7504008162723</v>
      </c>
    </row>
    <row r="288" spans="2:3" x14ac:dyDescent="0.55000000000000004">
      <c r="B288">
        <v>114.21593535038799</v>
      </c>
      <c r="C288">
        <v>13.6312308100593</v>
      </c>
    </row>
    <row r="289" spans="2:3" x14ac:dyDescent="0.55000000000000004">
      <c r="B289">
        <v>141.92688389095099</v>
      </c>
      <c r="C289">
        <v>40.202421956604503</v>
      </c>
    </row>
    <row r="290" spans="2:3" x14ac:dyDescent="0.55000000000000004">
      <c r="B290">
        <v>68.170065632550902</v>
      </c>
      <c r="C290">
        <v>0</v>
      </c>
    </row>
    <row r="291" spans="2:3" x14ac:dyDescent="0.55000000000000004">
      <c r="B291">
        <v>113.90313900891</v>
      </c>
      <c r="C291">
        <v>13.3312998507428</v>
      </c>
    </row>
    <row r="292" spans="2:3" x14ac:dyDescent="0.55000000000000004">
      <c r="B292">
        <v>93.3776999786473</v>
      </c>
      <c r="C292">
        <v>0</v>
      </c>
    </row>
    <row r="293" spans="2:3" x14ac:dyDescent="0.55000000000000004">
      <c r="B293">
        <v>76.296374367619904</v>
      </c>
      <c r="C293">
        <v>0</v>
      </c>
    </row>
    <row r="294" spans="2:3" x14ac:dyDescent="0.55000000000000004">
      <c r="B294">
        <v>101.84750703938801</v>
      </c>
      <c r="C294">
        <v>1.7715186694645</v>
      </c>
    </row>
    <row r="295" spans="2:3" x14ac:dyDescent="0.55000000000000004">
      <c r="B295">
        <v>63.638944263816299</v>
      </c>
      <c r="C295">
        <v>0</v>
      </c>
    </row>
    <row r="296" spans="2:3" x14ac:dyDescent="0.55000000000000004">
      <c r="B296">
        <v>89.913455827168505</v>
      </c>
      <c r="C296">
        <v>0</v>
      </c>
    </row>
    <row r="297" spans="2:3" x14ac:dyDescent="0.55000000000000004">
      <c r="B297">
        <v>67.150518422613402</v>
      </c>
      <c r="C297">
        <v>0</v>
      </c>
    </row>
    <row r="298" spans="2:3" x14ac:dyDescent="0.55000000000000004">
      <c r="B298">
        <v>128.05915258344001</v>
      </c>
      <c r="C298">
        <v>26.905073480733201</v>
      </c>
    </row>
    <row r="299" spans="2:3" x14ac:dyDescent="0.55000000000000004">
      <c r="B299">
        <v>129.02149939266201</v>
      </c>
      <c r="C299">
        <v>27.827838754526301</v>
      </c>
    </row>
    <row r="300" spans="2:3" x14ac:dyDescent="0.55000000000000004">
      <c r="B300">
        <v>89.231289821304898</v>
      </c>
      <c r="C300">
        <v>0</v>
      </c>
    </row>
    <row r="301" spans="2:3" x14ac:dyDescent="0.55000000000000004">
      <c r="B301">
        <v>105.400347241524</v>
      </c>
      <c r="C301">
        <v>5.17822977449572</v>
      </c>
    </row>
    <row r="302" spans="2:3" x14ac:dyDescent="0.55000000000000004">
      <c r="B302">
        <v>115.117772757319</v>
      </c>
      <c r="C302">
        <v>14.495975446555899</v>
      </c>
    </row>
    <row r="303" spans="2:3" x14ac:dyDescent="0.55000000000000004">
      <c r="B303">
        <v>99.814936620917905</v>
      </c>
      <c r="C303">
        <v>0</v>
      </c>
    </row>
    <row r="304" spans="2:3" x14ac:dyDescent="0.55000000000000004">
      <c r="B304">
        <v>88.213921581598896</v>
      </c>
      <c r="C304">
        <v>0</v>
      </c>
    </row>
    <row r="305" spans="2:3" x14ac:dyDescent="0.55000000000000004">
      <c r="B305">
        <v>105.991979035082</v>
      </c>
      <c r="C305">
        <v>5.7455276225645298</v>
      </c>
    </row>
    <row r="306" spans="2:3" x14ac:dyDescent="0.55000000000000004">
      <c r="B306">
        <v>86.471490816602795</v>
      </c>
      <c r="C306">
        <v>0</v>
      </c>
    </row>
    <row r="307" spans="2:3" x14ac:dyDescent="0.55000000000000004">
      <c r="B307">
        <v>97.509459748197898</v>
      </c>
      <c r="C307">
        <v>0</v>
      </c>
    </row>
    <row r="308" spans="2:3" x14ac:dyDescent="0.55000000000000004">
      <c r="B308">
        <v>138.160639193051</v>
      </c>
      <c r="C308">
        <v>36.591083729546902</v>
      </c>
    </row>
    <row r="309" spans="2:3" x14ac:dyDescent="0.55000000000000004">
      <c r="B309">
        <v>137.36368066680899</v>
      </c>
      <c r="C309">
        <v>35.826904282364197</v>
      </c>
    </row>
    <row r="310" spans="2:3" x14ac:dyDescent="0.55000000000000004">
      <c r="B310">
        <v>114.38222224399701</v>
      </c>
      <c r="C310">
        <v>13.790678287246401</v>
      </c>
    </row>
    <row r="311" spans="2:3" x14ac:dyDescent="0.55000000000000004">
      <c r="B311">
        <v>112.400863425122</v>
      </c>
      <c r="C311">
        <v>11.8908131913568</v>
      </c>
    </row>
    <row r="312" spans="2:3" x14ac:dyDescent="0.55000000000000004">
      <c r="B312">
        <v>100.402271236564</v>
      </c>
      <c r="C312">
        <v>0.385725732335362</v>
      </c>
    </row>
    <row r="313" spans="2:3" x14ac:dyDescent="0.55000000000000004">
      <c r="B313">
        <v>140.87777130076199</v>
      </c>
      <c r="C313">
        <v>39.196459597453803</v>
      </c>
    </row>
    <row r="314" spans="2:3" x14ac:dyDescent="0.55000000000000004">
      <c r="B314">
        <v>105.352589443127</v>
      </c>
      <c r="C314">
        <v>5.1324362648263904</v>
      </c>
    </row>
    <row r="315" spans="2:3" x14ac:dyDescent="0.55000000000000004">
      <c r="B315">
        <v>70.377761524680395</v>
      </c>
      <c r="C315">
        <v>0</v>
      </c>
    </row>
    <row r="316" spans="2:3" x14ac:dyDescent="0.55000000000000004">
      <c r="B316">
        <v>105.075309268795</v>
      </c>
      <c r="C316">
        <v>4.8665606849077303</v>
      </c>
    </row>
    <row r="317" spans="2:3" x14ac:dyDescent="0.55000000000000004">
      <c r="B317">
        <v>101.693697205885</v>
      </c>
      <c r="C317">
        <v>1.62403506816365</v>
      </c>
    </row>
    <row r="318" spans="2:3" x14ac:dyDescent="0.55000000000000004">
      <c r="B318">
        <v>75.854041479172807</v>
      </c>
      <c r="C318">
        <v>0</v>
      </c>
    </row>
    <row r="319" spans="2:3" x14ac:dyDescent="0.55000000000000004">
      <c r="B319">
        <v>107.821904228325</v>
      </c>
      <c r="C319">
        <v>7.5001875910736402</v>
      </c>
    </row>
    <row r="320" spans="2:3" x14ac:dyDescent="0.55000000000000004">
      <c r="B320">
        <v>116.262099867682</v>
      </c>
      <c r="C320">
        <v>15.593236131772899</v>
      </c>
    </row>
    <row r="321" spans="2:3" x14ac:dyDescent="0.55000000000000004">
      <c r="B321">
        <v>91.480038197453695</v>
      </c>
      <c r="C321">
        <v>0</v>
      </c>
    </row>
    <row r="322" spans="2:3" x14ac:dyDescent="0.55000000000000004">
      <c r="B322">
        <v>165.15042630278401</v>
      </c>
      <c r="C322">
        <v>62.470774973155002</v>
      </c>
    </row>
    <row r="323" spans="2:3" x14ac:dyDescent="0.55000000000000004">
      <c r="B323">
        <v>90.118463630100905</v>
      </c>
      <c r="C323">
        <v>0</v>
      </c>
    </row>
    <row r="324" spans="2:3" x14ac:dyDescent="0.55000000000000004">
      <c r="B324">
        <v>95.846182263673001</v>
      </c>
      <c r="C324">
        <v>0</v>
      </c>
    </row>
    <row r="325" spans="2:3" x14ac:dyDescent="0.55000000000000004">
      <c r="B325">
        <v>99.671821982919894</v>
      </c>
      <c r="C325">
        <v>0</v>
      </c>
    </row>
    <row r="326" spans="2:3" x14ac:dyDescent="0.55000000000000004">
      <c r="B326">
        <v>133.62424199188999</v>
      </c>
      <c r="C326">
        <v>32.241269540680399</v>
      </c>
    </row>
    <row r="327" spans="2:3" x14ac:dyDescent="0.55000000000000004">
      <c r="B327">
        <v>90.564957290706005</v>
      </c>
      <c r="C327">
        <v>0</v>
      </c>
    </row>
    <row r="328" spans="2:3" x14ac:dyDescent="0.55000000000000004">
      <c r="B328">
        <v>95.347269756464101</v>
      </c>
      <c r="C328">
        <v>0</v>
      </c>
    </row>
    <row r="329" spans="2:3" x14ac:dyDescent="0.55000000000000004">
      <c r="B329">
        <v>106.21802202822001</v>
      </c>
      <c r="C329">
        <v>5.9622734177945098</v>
      </c>
    </row>
    <row r="330" spans="2:3" x14ac:dyDescent="0.55000000000000004">
      <c r="B330">
        <v>120.554737247316</v>
      </c>
      <c r="C330">
        <v>19.709316394059702</v>
      </c>
    </row>
    <row r="331" spans="2:3" x14ac:dyDescent="0.55000000000000004">
      <c r="B331">
        <v>64.648735590190398</v>
      </c>
      <c r="C331">
        <v>0</v>
      </c>
    </row>
    <row r="332" spans="2:3" x14ac:dyDescent="0.55000000000000004">
      <c r="B332">
        <v>97.532460100431194</v>
      </c>
      <c r="C332">
        <v>0</v>
      </c>
    </row>
    <row r="333" spans="2:3" x14ac:dyDescent="0.55000000000000004">
      <c r="B333">
        <v>138.15378743742201</v>
      </c>
      <c r="C333">
        <v>36.5845137881307</v>
      </c>
    </row>
    <row r="334" spans="2:3" x14ac:dyDescent="0.55000000000000004">
      <c r="B334">
        <v>123.714659152929</v>
      </c>
      <c r="C334">
        <v>22.739270018320301</v>
      </c>
    </row>
    <row r="335" spans="2:3" x14ac:dyDescent="0.55000000000000004">
      <c r="B335">
        <v>130.105751002635</v>
      </c>
      <c r="C335">
        <v>28.8674948578665</v>
      </c>
    </row>
    <row r="336" spans="2:3" x14ac:dyDescent="0.55000000000000004">
      <c r="B336">
        <v>86.679240328472204</v>
      </c>
      <c r="C336">
        <v>0</v>
      </c>
    </row>
    <row r="337" spans="2:3" x14ac:dyDescent="0.55000000000000004">
      <c r="B337">
        <v>108.630457212632</v>
      </c>
      <c r="C337">
        <v>8.2754846137172908</v>
      </c>
    </row>
    <row r="338" spans="2:3" x14ac:dyDescent="0.55000000000000004">
      <c r="B338">
        <v>85.681092000326601</v>
      </c>
      <c r="C338">
        <v>0</v>
      </c>
    </row>
    <row r="339" spans="2:3" x14ac:dyDescent="0.55000000000000004">
      <c r="B339">
        <v>72.179684461943097</v>
      </c>
      <c r="C339">
        <v>0</v>
      </c>
    </row>
    <row r="340" spans="2:3" x14ac:dyDescent="0.55000000000000004">
      <c r="B340">
        <v>80.115029630356304</v>
      </c>
      <c r="C340">
        <v>0</v>
      </c>
    </row>
    <row r="341" spans="2:3" x14ac:dyDescent="0.55000000000000004">
      <c r="B341">
        <v>75.851336745633802</v>
      </c>
      <c r="C341">
        <v>0</v>
      </c>
    </row>
    <row r="342" spans="2:3" x14ac:dyDescent="0.55000000000000004">
      <c r="B342">
        <v>98.631663824486793</v>
      </c>
      <c r="C342">
        <v>0</v>
      </c>
    </row>
    <row r="343" spans="2:3" x14ac:dyDescent="0.55000000000000004">
      <c r="B343">
        <v>101.66252876944399</v>
      </c>
      <c r="C343">
        <v>1.59414859635246</v>
      </c>
    </row>
    <row r="344" spans="2:3" x14ac:dyDescent="0.55000000000000004">
      <c r="B344">
        <v>123.82445837672699</v>
      </c>
      <c r="C344">
        <v>22.844553175950999</v>
      </c>
    </row>
    <row r="345" spans="2:3" x14ac:dyDescent="0.55000000000000004">
      <c r="B345">
        <v>160.61340842089999</v>
      </c>
      <c r="C345">
        <v>58.120365632299297</v>
      </c>
    </row>
    <row r="346" spans="2:3" x14ac:dyDescent="0.55000000000000004">
      <c r="B346">
        <v>98.444018886094597</v>
      </c>
      <c r="C346">
        <v>0</v>
      </c>
    </row>
    <row r="347" spans="2:3" x14ac:dyDescent="0.55000000000000004">
      <c r="B347">
        <v>125.150342178736</v>
      </c>
      <c r="C347">
        <v>24.115903086248199</v>
      </c>
    </row>
    <row r="348" spans="2:3" x14ac:dyDescent="0.55000000000000004">
      <c r="B348">
        <v>93.580141465638505</v>
      </c>
      <c r="C348">
        <v>0</v>
      </c>
    </row>
    <row r="349" spans="2:3" x14ac:dyDescent="0.55000000000000004">
      <c r="B349">
        <v>107.350690732492</v>
      </c>
      <c r="C349">
        <v>7.0483552097214899</v>
      </c>
    </row>
    <row r="350" spans="2:3" x14ac:dyDescent="0.55000000000000004">
      <c r="B350">
        <v>134.312748666696</v>
      </c>
      <c r="C350">
        <v>32.901457784874303</v>
      </c>
    </row>
    <row r="351" spans="2:3" x14ac:dyDescent="0.55000000000000004">
      <c r="B351">
        <v>92.826330729807793</v>
      </c>
      <c r="C351">
        <v>0</v>
      </c>
    </row>
    <row r="352" spans="2:3" x14ac:dyDescent="0.55000000000000004">
      <c r="B352">
        <v>99.891710677896199</v>
      </c>
      <c r="C352">
        <v>0</v>
      </c>
    </row>
    <row r="353" spans="2:3" x14ac:dyDescent="0.55000000000000004">
      <c r="B353">
        <v>70.811289642569193</v>
      </c>
      <c r="C353">
        <v>0</v>
      </c>
    </row>
    <row r="354" spans="2:3" x14ac:dyDescent="0.55000000000000004">
      <c r="B354">
        <v>97.402913458665097</v>
      </c>
      <c r="C354">
        <v>0</v>
      </c>
    </row>
    <row r="355" spans="2:3" x14ac:dyDescent="0.55000000000000004">
      <c r="B355">
        <v>103.467370872092</v>
      </c>
      <c r="C355">
        <v>3.3247571472871198</v>
      </c>
    </row>
    <row r="356" spans="2:3" x14ac:dyDescent="0.55000000000000004">
      <c r="B356">
        <v>89.778910561770999</v>
      </c>
      <c r="C356">
        <v>0</v>
      </c>
    </row>
    <row r="357" spans="2:3" x14ac:dyDescent="0.55000000000000004">
      <c r="B357">
        <v>107.301860877614</v>
      </c>
      <c r="C357">
        <v>7.0015337374888302</v>
      </c>
    </row>
    <row r="358" spans="2:3" x14ac:dyDescent="0.55000000000000004">
      <c r="B358">
        <v>89.900980573313902</v>
      </c>
      <c r="C358">
        <v>0</v>
      </c>
    </row>
    <row r="359" spans="2:3" x14ac:dyDescent="0.55000000000000004">
      <c r="B359">
        <v>100.73924026108401</v>
      </c>
      <c r="C359">
        <v>0.70883514693596705</v>
      </c>
    </row>
    <row r="360" spans="2:3" x14ac:dyDescent="0.55000000000000004">
      <c r="B360">
        <v>73.176485008486296</v>
      </c>
      <c r="C360">
        <v>0</v>
      </c>
    </row>
    <row r="361" spans="2:3" x14ac:dyDescent="0.55000000000000004">
      <c r="B361">
        <v>114.857196662321</v>
      </c>
      <c r="C361">
        <v>14.2461169035226</v>
      </c>
    </row>
    <row r="362" spans="2:3" x14ac:dyDescent="0.55000000000000004">
      <c r="B362">
        <v>106.166484588481</v>
      </c>
      <c r="C362">
        <v>5.9128557242611102</v>
      </c>
    </row>
    <row r="363" spans="2:3" x14ac:dyDescent="0.55000000000000004">
      <c r="B363">
        <v>160.45123382416</v>
      </c>
      <c r="C363">
        <v>57.9648613123085</v>
      </c>
    </row>
    <row r="364" spans="2:3" x14ac:dyDescent="0.55000000000000004">
      <c r="B364">
        <v>126.585387347414</v>
      </c>
      <c r="C364">
        <v>25.491924532250302</v>
      </c>
    </row>
    <row r="365" spans="2:3" x14ac:dyDescent="0.55000000000000004">
      <c r="B365">
        <v>101.086463671007</v>
      </c>
      <c r="C365">
        <v>1.04177718181902</v>
      </c>
    </row>
    <row r="366" spans="2:3" x14ac:dyDescent="0.55000000000000004">
      <c r="B366">
        <v>75.407124847130802</v>
      </c>
      <c r="C366">
        <v>0</v>
      </c>
    </row>
    <row r="367" spans="2:3" x14ac:dyDescent="0.55000000000000004">
      <c r="B367">
        <v>132.049257308916</v>
      </c>
      <c r="C367">
        <v>30.731064323311799</v>
      </c>
    </row>
    <row r="368" spans="2:3" x14ac:dyDescent="0.55000000000000004">
      <c r="B368">
        <v>97.417395813807303</v>
      </c>
      <c r="C368">
        <v>0</v>
      </c>
    </row>
    <row r="369" spans="2:3" x14ac:dyDescent="0.55000000000000004">
      <c r="B369">
        <v>83.694581394507907</v>
      </c>
      <c r="C369">
        <v>0</v>
      </c>
    </row>
    <row r="370" spans="2:3" x14ac:dyDescent="0.55000000000000004">
      <c r="B370">
        <v>116.060000379005</v>
      </c>
      <c r="C370">
        <v>15.3994490394112</v>
      </c>
    </row>
    <row r="371" spans="2:3" x14ac:dyDescent="0.55000000000000004">
      <c r="B371">
        <v>125.06059347443799</v>
      </c>
      <c r="C371">
        <v>24.029845765851199</v>
      </c>
    </row>
    <row r="372" spans="2:3" x14ac:dyDescent="0.55000000000000004">
      <c r="B372">
        <v>86.270772382229694</v>
      </c>
      <c r="C372">
        <v>0</v>
      </c>
    </row>
    <row r="373" spans="2:3" x14ac:dyDescent="0.55000000000000004">
      <c r="B373">
        <v>115.31494957462201</v>
      </c>
      <c r="C373">
        <v>14.6850423380968</v>
      </c>
    </row>
    <row r="374" spans="2:3" x14ac:dyDescent="0.55000000000000004">
      <c r="B374">
        <v>96.207316901926802</v>
      </c>
      <c r="C374">
        <v>0</v>
      </c>
    </row>
    <row r="375" spans="2:3" x14ac:dyDescent="0.55000000000000004">
      <c r="B375">
        <v>118.863305732809</v>
      </c>
      <c r="C375">
        <v>18.087453828890201</v>
      </c>
    </row>
    <row r="376" spans="2:3" x14ac:dyDescent="0.55000000000000004">
      <c r="B376">
        <v>135.27860258384999</v>
      </c>
      <c r="C376">
        <v>33.8275859184807</v>
      </c>
    </row>
    <row r="377" spans="2:3" x14ac:dyDescent="0.55000000000000004">
      <c r="B377">
        <v>149.07727157512701</v>
      </c>
      <c r="C377">
        <v>47.058712626338298</v>
      </c>
    </row>
    <row r="378" spans="2:3" x14ac:dyDescent="0.55000000000000004">
      <c r="B378">
        <v>94.360449027727498</v>
      </c>
      <c r="C378">
        <v>0</v>
      </c>
    </row>
    <row r="379" spans="2:3" x14ac:dyDescent="0.55000000000000004">
      <c r="B379">
        <v>120.22232982108601</v>
      </c>
      <c r="C379">
        <v>19.390580958209402</v>
      </c>
    </row>
    <row r="380" spans="2:3" x14ac:dyDescent="0.55000000000000004">
      <c r="B380">
        <v>67.175343471863897</v>
      </c>
      <c r="C380">
        <v>0</v>
      </c>
    </row>
    <row r="381" spans="2:3" x14ac:dyDescent="0.55000000000000004">
      <c r="B381">
        <v>93.5723923586702</v>
      </c>
      <c r="C381">
        <v>0</v>
      </c>
    </row>
    <row r="382" spans="2:3" x14ac:dyDescent="0.55000000000000004">
      <c r="B382">
        <v>119.612483391868</v>
      </c>
      <c r="C382">
        <v>18.805817646442399</v>
      </c>
    </row>
    <row r="383" spans="2:3" x14ac:dyDescent="0.55000000000000004">
      <c r="B383">
        <v>73.450078667229604</v>
      </c>
      <c r="C383">
        <v>0</v>
      </c>
    </row>
    <row r="384" spans="2:3" x14ac:dyDescent="0.55000000000000004">
      <c r="B384">
        <v>114.288670427024</v>
      </c>
      <c r="C384">
        <v>13.700974277033399</v>
      </c>
    </row>
    <row r="385" spans="2:3" x14ac:dyDescent="0.55000000000000004">
      <c r="B385">
        <v>94.012472936833802</v>
      </c>
      <c r="C385">
        <v>0</v>
      </c>
    </row>
    <row r="386" spans="2:3" x14ac:dyDescent="0.55000000000000004">
      <c r="B386">
        <v>77.924806521040097</v>
      </c>
      <c r="C386">
        <v>0</v>
      </c>
    </row>
    <row r="387" spans="2:3" x14ac:dyDescent="0.55000000000000004">
      <c r="B387">
        <v>110.29125877585901</v>
      </c>
      <c r="C387">
        <v>9.8679770442229007</v>
      </c>
    </row>
    <row r="388" spans="2:3" x14ac:dyDescent="0.55000000000000004">
      <c r="B388">
        <v>85.676944372647199</v>
      </c>
      <c r="C388">
        <v>0</v>
      </c>
    </row>
    <row r="389" spans="2:3" x14ac:dyDescent="0.55000000000000004">
      <c r="B389">
        <v>103.83989038001999</v>
      </c>
      <c r="C389">
        <v>3.6819548461128</v>
      </c>
    </row>
    <row r="390" spans="2:3" x14ac:dyDescent="0.55000000000000004">
      <c r="B390">
        <v>134.88195571498099</v>
      </c>
      <c r="C390">
        <v>33.447253222363003</v>
      </c>
    </row>
    <row r="391" spans="2:3" x14ac:dyDescent="0.55000000000000004">
      <c r="B391">
        <v>111.666469120043</v>
      </c>
      <c r="C391">
        <v>11.1866246851918</v>
      </c>
    </row>
    <row r="392" spans="2:3" x14ac:dyDescent="0.55000000000000004">
      <c r="B392">
        <v>96.413010466430805</v>
      </c>
      <c r="C392">
        <v>0</v>
      </c>
    </row>
    <row r="393" spans="2:3" x14ac:dyDescent="0.55000000000000004">
      <c r="B393">
        <v>114.588444608551</v>
      </c>
      <c r="C393">
        <v>13.9884186806957</v>
      </c>
    </row>
    <row r="394" spans="2:3" x14ac:dyDescent="0.55000000000000004">
      <c r="B394">
        <v>145.020771940092</v>
      </c>
      <c r="C394">
        <v>43.169057711400697</v>
      </c>
    </row>
    <row r="395" spans="2:3" x14ac:dyDescent="0.55000000000000004">
      <c r="B395">
        <v>88.6390997582007</v>
      </c>
      <c r="C395">
        <v>0</v>
      </c>
    </row>
    <row r="396" spans="2:3" x14ac:dyDescent="0.55000000000000004">
      <c r="B396">
        <v>99.1413483675517</v>
      </c>
      <c r="C396">
        <v>0</v>
      </c>
    </row>
    <row r="397" spans="2:3" x14ac:dyDescent="0.55000000000000004">
      <c r="B397">
        <v>93.849971814558202</v>
      </c>
      <c r="C397">
        <v>0</v>
      </c>
    </row>
    <row r="398" spans="2:3" x14ac:dyDescent="0.55000000000000004">
      <c r="B398">
        <v>84.148278845564903</v>
      </c>
      <c r="C398">
        <v>0</v>
      </c>
    </row>
    <row r="399" spans="2:3" x14ac:dyDescent="0.55000000000000004">
      <c r="B399">
        <v>100.529186155857</v>
      </c>
      <c r="C399">
        <v>0.50742061314921505</v>
      </c>
    </row>
    <row r="400" spans="2:3" x14ac:dyDescent="0.55000000000000004">
      <c r="B400">
        <v>96.582966045497301</v>
      </c>
      <c r="C400">
        <v>0</v>
      </c>
    </row>
    <row r="401" spans="2:3" x14ac:dyDescent="0.55000000000000004">
      <c r="B401">
        <v>111.79693288067701</v>
      </c>
      <c r="C401">
        <v>11.3117224427238</v>
      </c>
    </row>
    <row r="402" spans="2:3" x14ac:dyDescent="0.55000000000000004">
      <c r="B402">
        <v>74.161355446062103</v>
      </c>
      <c r="C402">
        <v>0</v>
      </c>
    </row>
    <row r="403" spans="2:3" x14ac:dyDescent="0.55000000000000004">
      <c r="B403">
        <v>126.424789172765</v>
      </c>
      <c r="C403">
        <v>25.337931795764099</v>
      </c>
    </row>
    <row r="404" spans="2:3" x14ac:dyDescent="0.55000000000000004">
      <c r="B404">
        <v>127.348548195395</v>
      </c>
      <c r="C404">
        <v>26.223696407094799</v>
      </c>
    </row>
    <row r="405" spans="2:3" x14ac:dyDescent="0.55000000000000004">
      <c r="B405">
        <v>82.209801279927504</v>
      </c>
      <c r="C405">
        <v>0</v>
      </c>
    </row>
    <row r="406" spans="2:3" x14ac:dyDescent="0.55000000000000004">
      <c r="B406">
        <v>180.751941517776</v>
      </c>
      <c r="C406">
        <v>77.430596443952297</v>
      </c>
    </row>
    <row r="407" spans="2:3" x14ac:dyDescent="0.55000000000000004">
      <c r="B407">
        <v>139.98604057963101</v>
      </c>
      <c r="C407">
        <v>38.341405956553999</v>
      </c>
    </row>
    <row r="408" spans="2:3" x14ac:dyDescent="0.55000000000000004">
      <c r="B408">
        <v>85.568238558493704</v>
      </c>
      <c r="C408">
        <v>0</v>
      </c>
    </row>
    <row r="409" spans="2:3" x14ac:dyDescent="0.55000000000000004">
      <c r="B409">
        <v>127.47526256568899</v>
      </c>
      <c r="C409">
        <v>26.3451989875342</v>
      </c>
    </row>
    <row r="410" spans="2:3" x14ac:dyDescent="0.55000000000000004">
      <c r="B410">
        <v>86.731308039433898</v>
      </c>
      <c r="C410">
        <v>0</v>
      </c>
    </row>
    <row r="411" spans="2:3" x14ac:dyDescent="0.55000000000000004">
      <c r="B411">
        <v>125.332219420527</v>
      </c>
      <c r="C411">
        <v>24.290299677175099</v>
      </c>
    </row>
    <row r="412" spans="2:3" x14ac:dyDescent="0.55000000000000004">
      <c r="B412">
        <v>108.471132331737</v>
      </c>
      <c r="C412">
        <v>8.1227128001333906</v>
      </c>
    </row>
    <row r="413" spans="2:3" x14ac:dyDescent="0.55000000000000004">
      <c r="B413">
        <v>81.522436384969296</v>
      </c>
      <c r="C413">
        <v>0</v>
      </c>
    </row>
    <row r="414" spans="2:3" x14ac:dyDescent="0.55000000000000004">
      <c r="B414">
        <v>96.396379165450895</v>
      </c>
      <c r="C414">
        <v>0</v>
      </c>
    </row>
    <row r="415" spans="2:3" x14ac:dyDescent="0.55000000000000004">
      <c r="B415">
        <v>89.555814545498507</v>
      </c>
      <c r="C415">
        <v>0</v>
      </c>
    </row>
    <row r="416" spans="2:3" x14ac:dyDescent="0.55000000000000004">
      <c r="B416">
        <v>69.371158116984503</v>
      </c>
      <c r="C416">
        <v>0</v>
      </c>
    </row>
    <row r="417" spans="2:3" x14ac:dyDescent="0.55000000000000004">
      <c r="B417">
        <v>87.402923587222105</v>
      </c>
      <c r="C417">
        <v>0</v>
      </c>
    </row>
    <row r="418" spans="2:3" x14ac:dyDescent="0.55000000000000004">
      <c r="B418">
        <v>104.02411753954701</v>
      </c>
      <c r="C418">
        <v>3.8586047021437002</v>
      </c>
    </row>
    <row r="419" spans="2:3" x14ac:dyDescent="0.55000000000000004">
      <c r="B419">
        <v>111.051053641782</v>
      </c>
      <c r="C419">
        <v>10.596521380591099</v>
      </c>
    </row>
    <row r="420" spans="2:3" x14ac:dyDescent="0.55000000000000004">
      <c r="B420">
        <v>168.51549123920699</v>
      </c>
      <c r="C420">
        <v>65.6974340503549</v>
      </c>
    </row>
    <row r="421" spans="2:3" x14ac:dyDescent="0.55000000000000004">
      <c r="B421">
        <v>85.854878062604996</v>
      </c>
      <c r="C421">
        <v>0</v>
      </c>
    </row>
    <row r="422" spans="2:3" x14ac:dyDescent="0.55000000000000004">
      <c r="B422">
        <v>121.967911250969</v>
      </c>
      <c r="C422">
        <v>21.064366240852699</v>
      </c>
    </row>
    <row r="423" spans="2:3" x14ac:dyDescent="0.55000000000000004">
      <c r="B423">
        <v>87.459539729377994</v>
      </c>
      <c r="C423">
        <v>0</v>
      </c>
    </row>
    <row r="424" spans="2:3" x14ac:dyDescent="0.55000000000000004">
      <c r="B424">
        <v>149.67351584511101</v>
      </c>
      <c r="C424">
        <v>47.6304332386662</v>
      </c>
    </row>
    <row r="425" spans="2:3" x14ac:dyDescent="0.55000000000000004">
      <c r="B425">
        <v>90.762685879572103</v>
      </c>
      <c r="C425">
        <v>0</v>
      </c>
    </row>
    <row r="426" spans="2:3" x14ac:dyDescent="0.55000000000000004">
      <c r="B426">
        <v>99.0204850612417</v>
      </c>
      <c r="C426">
        <v>0</v>
      </c>
    </row>
    <row r="427" spans="2:3" x14ac:dyDescent="0.55000000000000004">
      <c r="B427">
        <v>160.67738943153199</v>
      </c>
      <c r="C427">
        <v>58.181715089924403</v>
      </c>
    </row>
    <row r="428" spans="2:3" x14ac:dyDescent="0.55000000000000004">
      <c r="B428">
        <v>105.162135723674</v>
      </c>
      <c r="C428">
        <v>4.9498159486453197</v>
      </c>
    </row>
    <row r="429" spans="2:3" x14ac:dyDescent="0.55000000000000004">
      <c r="B429">
        <v>87.632915107238304</v>
      </c>
      <c r="C429">
        <v>0</v>
      </c>
    </row>
    <row r="430" spans="2:3" x14ac:dyDescent="0.55000000000000004">
      <c r="B430">
        <v>132.42677689767501</v>
      </c>
      <c r="C430">
        <v>31.093056448547198</v>
      </c>
    </row>
    <row r="431" spans="2:3" x14ac:dyDescent="0.55000000000000004">
      <c r="B431">
        <v>141.26005753723001</v>
      </c>
      <c r="C431">
        <v>39.563022317131903</v>
      </c>
    </row>
    <row r="432" spans="2:3" x14ac:dyDescent="0.55000000000000004">
      <c r="B432">
        <v>107.76701582733899</v>
      </c>
      <c r="C432">
        <v>7.44755676206392</v>
      </c>
    </row>
    <row r="433" spans="2:3" x14ac:dyDescent="0.55000000000000004">
      <c r="B433">
        <v>92.8041513887419</v>
      </c>
      <c r="C433">
        <v>0</v>
      </c>
    </row>
    <row r="434" spans="2:3" x14ac:dyDescent="0.55000000000000004">
      <c r="B434">
        <v>109.810568138204</v>
      </c>
      <c r="C434">
        <v>9.4070573179720203</v>
      </c>
    </row>
    <row r="435" spans="2:3" x14ac:dyDescent="0.55000000000000004">
      <c r="B435">
        <v>80.935245420865499</v>
      </c>
      <c r="C435">
        <v>0</v>
      </c>
    </row>
    <row r="436" spans="2:3" x14ac:dyDescent="0.55000000000000004">
      <c r="B436">
        <v>64.439710897330798</v>
      </c>
      <c r="C436">
        <v>0</v>
      </c>
    </row>
    <row r="437" spans="2:3" x14ac:dyDescent="0.55000000000000004">
      <c r="B437">
        <v>173.92111962173101</v>
      </c>
      <c r="C437">
        <v>70.8807277513624</v>
      </c>
    </row>
    <row r="438" spans="2:3" x14ac:dyDescent="0.55000000000000004">
      <c r="B438">
        <v>87.113833975921906</v>
      </c>
      <c r="C438">
        <v>0</v>
      </c>
    </row>
    <row r="439" spans="2:3" x14ac:dyDescent="0.55000000000000004">
      <c r="B439">
        <v>91.780342683425403</v>
      </c>
      <c r="C439">
        <v>0</v>
      </c>
    </row>
    <row r="440" spans="2:3" x14ac:dyDescent="0.55000000000000004">
      <c r="B440">
        <v>105.049956792533</v>
      </c>
      <c r="C440">
        <v>4.8422509615572098</v>
      </c>
    </row>
    <row r="441" spans="2:3" x14ac:dyDescent="0.55000000000000004">
      <c r="B441">
        <v>65.507545745477003</v>
      </c>
      <c r="C441">
        <v>0</v>
      </c>
    </row>
    <row r="442" spans="2:3" x14ac:dyDescent="0.55000000000000004">
      <c r="B442">
        <v>97.786472269694599</v>
      </c>
      <c r="C442">
        <v>0</v>
      </c>
    </row>
    <row r="443" spans="2:3" x14ac:dyDescent="0.55000000000000004">
      <c r="B443">
        <v>83.046007482711602</v>
      </c>
      <c r="C443">
        <v>0</v>
      </c>
    </row>
    <row r="444" spans="2:3" x14ac:dyDescent="0.55000000000000004">
      <c r="B444">
        <v>102.15321769579801</v>
      </c>
      <c r="C444">
        <v>2.06465537949506</v>
      </c>
    </row>
    <row r="445" spans="2:3" x14ac:dyDescent="0.55000000000000004">
      <c r="B445">
        <v>88.819616942961204</v>
      </c>
      <c r="C445">
        <v>0</v>
      </c>
    </row>
    <row r="446" spans="2:3" x14ac:dyDescent="0.55000000000000004">
      <c r="B446">
        <v>74.385401603162407</v>
      </c>
      <c r="C446">
        <v>0</v>
      </c>
    </row>
    <row r="447" spans="2:3" x14ac:dyDescent="0.55000000000000004">
      <c r="B447">
        <v>114.521430700294</v>
      </c>
      <c r="C447">
        <v>13.924161069189401</v>
      </c>
    </row>
    <row r="448" spans="2:3" x14ac:dyDescent="0.55000000000000004">
      <c r="B448">
        <v>113.527052470277</v>
      </c>
      <c r="C448">
        <v>12.970681833966999</v>
      </c>
    </row>
    <row r="449" spans="2:3" x14ac:dyDescent="0.55000000000000004">
      <c r="B449">
        <v>116.31360886055801</v>
      </c>
      <c r="C449">
        <v>15.6426265484693</v>
      </c>
    </row>
    <row r="450" spans="2:3" x14ac:dyDescent="0.55000000000000004">
      <c r="B450">
        <v>116.078868955788</v>
      </c>
      <c r="C450">
        <v>15.4175415474907</v>
      </c>
    </row>
    <row r="451" spans="2:3" x14ac:dyDescent="0.55000000000000004">
      <c r="B451">
        <v>123.00743876543901</v>
      </c>
      <c r="C451">
        <v>22.0611377605515</v>
      </c>
    </row>
    <row r="452" spans="2:3" x14ac:dyDescent="0.55000000000000004">
      <c r="B452">
        <v>82.478980570575004</v>
      </c>
      <c r="C452">
        <v>0</v>
      </c>
    </row>
    <row r="453" spans="2:3" x14ac:dyDescent="0.55000000000000004">
      <c r="B453">
        <v>110.344384773455</v>
      </c>
      <c r="C453">
        <v>9.9189179578805593</v>
      </c>
    </row>
    <row r="454" spans="2:3" x14ac:dyDescent="0.55000000000000004">
      <c r="B454">
        <v>68.398579951253396</v>
      </c>
      <c r="C454">
        <v>0</v>
      </c>
    </row>
    <row r="455" spans="2:3" x14ac:dyDescent="0.55000000000000004">
      <c r="B455">
        <v>115.939181007421</v>
      </c>
      <c r="C455">
        <v>15.283598995091401</v>
      </c>
    </row>
    <row r="456" spans="2:3" x14ac:dyDescent="0.55000000000000004">
      <c r="B456">
        <v>96.678901279500295</v>
      </c>
      <c r="C456">
        <v>0</v>
      </c>
    </row>
    <row r="457" spans="2:3" x14ac:dyDescent="0.55000000000000004">
      <c r="B457">
        <v>62.278317836731901</v>
      </c>
      <c r="C457">
        <v>0</v>
      </c>
    </row>
    <row r="458" spans="2:3" x14ac:dyDescent="0.55000000000000004">
      <c r="B458">
        <v>114.252901101647</v>
      </c>
      <c r="C458">
        <v>13.666676151857599</v>
      </c>
    </row>
    <row r="459" spans="2:3" x14ac:dyDescent="0.55000000000000004">
      <c r="B459">
        <v>90.259302637827204</v>
      </c>
      <c r="C459">
        <v>0</v>
      </c>
    </row>
    <row r="460" spans="2:3" x14ac:dyDescent="0.55000000000000004">
      <c r="B460">
        <v>131.46020222329901</v>
      </c>
      <c r="C460">
        <v>30.166237202621499</v>
      </c>
    </row>
    <row r="461" spans="2:3" x14ac:dyDescent="0.55000000000000004">
      <c r="B461">
        <v>92.6851153380764</v>
      </c>
      <c r="C461">
        <v>0</v>
      </c>
    </row>
    <row r="462" spans="2:3" x14ac:dyDescent="0.55000000000000004">
      <c r="B462">
        <v>112.63908727269499</v>
      </c>
      <c r="C462">
        <v>12.119238839806201</v>
      </c>
    </row>
    <row r="463" spans="2:3" x14ac:dyDescent="0.55000000000000004">
      <c r="B463">
        <v>90.019214920971706</v>
      </c>
      <c r="C463">
        <v>0</v>
      </c>
    </row>
    <row r="464" spans="2:3" x14ac:dyDescent="0.55000000000000004">
      <c r="B464">
        <v>103.068560615083</v>
      </c>
      <c r="C464">
        <v>2.9423500436583701</v>
      </c>
    </row>
    <row r="465" spans="2:3" x14ac:dyDescent="0.55000000000000004">
      <c r="B465">
        <v>128.550443599071</v>
      </c>
      <c r="C465">
        <v>27.376157589088699</v>
      </c>
    </row>
    <row r="466" spans="2:3" x14ac:dyDescent="0.55000000000000004">
      <c r="B466">
        <v>79.026333409615702</v>
      </c>
      <c r="C466">
        <v>0</v>
      </c>
    </row>
    <row r="467" spans="2:3" x14ac:dyDescent="0.55000000000000004">
      <c r="B467">
        <v>88.225543359079694</v>
      </c>
      <c r="C467">
        <v>0</v>
      </c>
    </row>
    <row r="468" spans="2:3" x14ac:dyDescent="0.55000000000000004">
      <c r="B468">
        <v>92.086535752296797</v>
      </c>
      <c r="C468">
        <v>0</v>
      </c>
    </row>
    <row r="469" spans="2:3" x14ac:dyDescent="0.55000000000000004">
      <c r="B469">
        <v>107.669466286011</v>
      </c>
      <c r="C469">
        <v>7.3540194547763198</v>
      </c>
    </row>
    <row r="470" spans="2:3" x14ac:dyDescent="0.55000000000000004">
      <c r="B470">
        <v>99.955403403383599</v>
      </c>
      <c r="C470">
        <v>0</v>
      </c>
    </row>
    <row r="471" spans="2:3" x14ac:dyDescent="0.55000000000000004">
      <c r="B471">
        <v>156.33867069819601</v>
      </c>
      <c r="C471">
        <v>54.021448810124802</v>
      </c>
    </row>
    <row r="472" spans="2:3" x14ac:dyDescent="0.55000000000000004">
      <c r="B472">
        <v>102.523129876423</v>
      </c>
      <c r="C472">
        <v>2.4193529909623899</v>
      </c>
    </row>
    <row r="473" spans="2:3" x14ac:dyDescent="0.55000000000000004">
      <c r="B473">
        <v>91.920755624071404</v>
      </c>
      <c r="C473">
        <v>0</v>
      </c>
    </row>
    <row r="474" spans="2:3" x14ac:dyDescent="0.55000000000000004">
      <c r="B474">
        <v>84.801799036330905</v>
      </c>
      <c r="C474">
        <v>0</v>
      </c>
    </row>
    <row r="475" spans="2:3" x14ac:dyDescent="0.55000000000000004">
      <c r="B475">
        <v>101.708931793967</v>
      </c>
      <c r="C475">
        <v>1.6386430542950201</v>
      </c>
    </row>
    <row r="476" spans="2:3" x14ac:dyDescent="0.55000000000000004">
      <c r="B476">
        <v>106.64501132978</v>
      </c>
      <c r="C476">
        <v>6.3717005556882302</v>
      </c>
    </row>
    <row r="477" spans="2:3" x14ac:dyDescent="0.55000000000000004">
      <c r="B477">
        <v>112.671369668135</v>
      </c>
      <c r="C477">
        <v>12.1501934532383</v>
      </c>
    </row>
    <row r="478" spans="2:3" x14ac:dyDescent="0.55000000000000004">
      <c r="B478">
        <v>66.451007078067605</v>
      </c>
      <c r="C478">
        <v>0</v>
      </c>
    </row>
    <row r="479" spans="2:3" x14ac:dyDescent="0.55000000000000004">
      <c r="B479">
        <v>118.352407598893</v>
      </c>
      <c r="C479">
        <v>17.597569047327799</v>
      </c>
    </row>
    <row r="480" spans="2:3" x14ac:dyDescent="0.55000000000000004">
      <c r="B480">
        <v>104.311789231644</v>
      </c>
      <c r="C480">
        <v>4.1344443944213696</v>
      </c>
    </row>
    <row r="481" spans="2:3" x14ac:dyDescent="0.55000000000000004">
      <c r="B481">
        <v>99.502530480151293</v>
      </c>
      <c r="C481">
        <v>0</v>
      </c>
    </row>
    <row r="482" spans="2:3" x14ac:dyDescent="0.55000000000000004">
      <c r="B482">
        <v>104.535212320631</v>
      </c>
      <c r="C482">
        <v>4.3486780427334697</v>
      </c>
    </row>
    <row r="483" spans="2:3" x14ac:dyDescent="0.55000000000000004">
      <c r="B483">
        <v>126.595800683709</v>
      </c>
      <c r="C483">
        <v>25.501909565738298</v>
      </c>
    </row>
    <row r="484" spans="2:3" x14ac:dyDescent="0.55000000000000004">
      <c r="B484">
        <v>104.97715629720101</v>
      </c>
      <c r="C484">
        <v>4.7724447665722902</v>
      </c>
    </row>
    <row r="485" spans="2:3" x14ac:dyDescent="0.55000000000000004">
      <c r="B485">
        <v>108.647126070295</v>
      </c>
      <c r="C485">
        <v>8.2914678776066193</v>
      </c>
    </row>
    <row r="486" spans="2:3" x14ac:dyDescent="0.55000000000000004">
      <c r="B486">
        <v>96.738367967098796</v>
      </c>
      <c r="C486">
        <v>0</v>
      </c>
    </row>
    <row r="487" spans="2:3" x14ac:dyDescent="0.55000000000000004">
      <c r="B487">
        <v>100.654179222499</v>
      </c>
      <c r="C487">
        <v>0.62727268753271803</v>
      </c>
    </row>
    <row r="488" spans="2:3" x14ac:dyDescent="0.55000000000000004">
      <c r="B488">
        <v>140.77869843751699</v>
      </c>
      <c r="C488">
        <v>39.101461622813503</v>
      </c>
    </row>
    <row r="489" spans="2:3" x14ac:dyDescent="0.55000000000000004">
      <c r="B489">
        <v>81.438346765246095</v>
      </c>
      <c r="C489">
        <v>0</v>
      </c>
    </row>
    <row r="490" spans="2:3" x14ac:dyDescent="0.55000000000000004">
      <c r="B490">
        <v>117.02093434255499</v>
      </c>
      <c r="C490">
        <v>16.3208595781852</v>
      </c>
    </row>
    <row r="491" spans="2:3" x14ac:dyDescent="0.55000000000000004">
      <c r="B491">
        <v>98.897931503933094</v>
      </c>
      <c r="C491">
        <v>0</v>
      </c>
    </row>
    <row r="492" spans="2:3" x14ac:dyDescent="0.55000000000000004">
      <c r="B492">
        <v>108.817998609835</v>
      </c>
      <c r="C492">
        <v>8.4553123921018205</v>
      </c>
    </row>
    <row r="493" spans="2:3" x14ac:dyDescent="0.55000000000000004">
      <c r="B493">
        <v>135.61813595353499</v>
      </c>
      <c r="C493">
        <v>34.153154206167798</v>
      </c>
    </row>
    <row r="494" spans="2:3" x14ac:dyDescent="0.55000000000000004">
      <c r="B494">
        <v>99.804194404892996</v>
      </c>
      <c r="C494">
        <v>0</v>
      </c>
    </row>
    <row r="495" spans="2:3" x14ac:dyDescent="0.55000000000000004">
      <c r="B495">
        <v>128.36785800267199</v>
      </c>
      <c r="C495">
        <v>27.201081778333801</v>
      </c>
    </row>
    <row r="496" spans="2:3" x14ac:dyDescent="0.55000000000000004">
      <c r="B496">
        <v>63.914439922279399</v>
      </c>
      <c r="C496">
        <v>0</v>
      </c>
    </row>
    <row r="497" spans="2:3" x14ac:dyDescent="0.55000000000000004">
      <c r="B497">
        <v>89.550674741123501</v>
      </c>
      <c r="C497">
        <v>0</v>
      </c>
    </row>
    <row r="498" spans="2:3" x14ac:dyDescent="0.55000000000000004">
      <c r="B498">
        <v>109.61041807601001</v>
      </c>
      <c r="C498">
        <v>9.2151394717538597</v>
      </c>
    </row>
    <row r="499" spans="2:3" x14ac:dyDescent="0.55000000000000004">
      <c r="B499">
        <v>102.116186882528</v>
      </c>
      <c r="C499">
        <v>2.0291476517002298</v>
      </c>
    </row>
    <row r="500" spans="2:3" x14ac:dyDescent="0.55000000000000004">
      <c r="B500">
        <v>90.707485747776801</v>
      </c>
      <c r="C500">
        <v>0</v>
      </c>
    </row>
    <row r="501" spans="2:3" x14ac:dyDescent="0.55000000000000004">
      <c r="B501">
        <v>108.06200277792701</v>
      </c>
      <c r="C501">
        <v>7.7304108346457703</v>
      </c>
    </row>
    <row r="502" spans="2:3" x14ac:dyDescent="0.55000000000000004">
      <c r="B502">
        <v>88.476919442917705</v>
      </c>
      <c r="C50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9C25-10FA-4102-AF79-76B928835D54}">
  <dimension ref="A2:E502"/>
  <sheetViews>
    <sheetView workbookViewId="0">
      <selection activeCell="D8" sqref="D8"/>
    </sheetView>
  </sheetViews>
  <sheetFormatPr baseColWidth="10" defaultRowHeight="14.4" x14ac:dyDescent="0.55000000000000004"/>
  <sheetData>
    <row r="2" spans="1:5" x14ac:dyDescent="0.55000000000000004">
      <c r="A2" t="s">
        <v>0</v>
      </c>
      <c r="B2" t="s">
        <v>12</v>
      </c>
      <c r="D2" t="s">
        <v>13</v>
      </c>
      <c r="E2" t="s">
        <v>14</v>
      </c>
    </row>
    <row r="3" spans="1:5" x14ac:dyDescent="0.55000000000000004">
      <c r="A3">
        <v>133.134157341769</v>
      </c>
      <c r="B3">
        <f>LN(A3)</f>
        <v>4.8913573216417392</v>
      </c>
      <c r="D3">
        <f>AVERAGE(B3:B502)</f>
        <v>4.6314920703941329</v>
      </c>
      <c r="E3">
        <f>STDEVA(B3:B502)</f>
        <v>0.20699152280998012</v>
      </c>
    </row>
    <row r="4" spans="1:5" x14ac:dyDescent="0.55000000000000004">
      <c r="A4">
        <v>128.662881752712</v>
      </c>
      <c r="B4">
        <f t="shared" ref="B4:B67" si="0">LN(A4)</f>
        <v>4.8571956639343501</v>
      </c>
    </row>
    <row r="5" spans="1:5" x14ac:dyDescent="0.55000000000000004">
      <c r="A5">
        <v>106.897421991957</v>
      </c>
      <c r="B5">
        <f t="shared" si="0"/>
        <v>4.6718697016687054</v>
      </c>
      <c r="D5" t="s">
        <v>7</v>
      </c>
    </row>
    <row r="6" spans="1:5" x14ac:dyDescent="0.55000000000000004">
      <c r="A6">
        <v>121.07655740489901</v>
      </c>
      <c r="B6">
        <f t="shared" si="0"/>
        <v>4.796423051348409</v>
      </c>
      <c r="D6">
        <f>_xlfn.NORM.DIST(LN(100),D3,E3,TRUE)</f>
        <v>0.44940527139841735</v>
      </c>
    </row>
    <row r="7" spans="1:5" x14ac:dyDescent="0.55000000000000004">
      <c r="A7">
        <v>100.983657276134</v>
      </c>
      <c r="B7">
        <f t="shared" si="0"/>
        <v>4.6149586946015591</v>
      </c>
      <c r="D7" t="s">
        <v>15</v>
      </c>
    </row>
    <row r="8" spans="1:5" x14ac:dyDescent="0.55000000000000004">
      <c r="A8">
        <v>110.15685387264099</v>
      </c>
      <c r="B8">
        <f t="shared" si="0"/>
        <v>4.7019052943960169</v>
      </c>
      <c r="D8" s="1">
        <f>_xlfn.NORM.DIST(LN(110.88),D3,E3,TRUE)</f>
        <v>0.64497375261147916</v>
      </c>
    </row>
    <row r="9" spans="1:5" x14ac:dyDescent="0.55000000000000004">
      <c r="A9">
        <v>92.649101586453099</v>
      </c>
      <c r="B9">
        <f t="shared" si="0"/>
        <v>4.528819255830097</v>
      </c>
    </row>
    <row r="10" spans="1:5" x14ac:dyDescent="0.55000000000000004">
      <c r="A10">
        <v>116.89916621422999</v>
      </c>
      <c r="B10">
        <f t="shared" si="0"/>
        <v>4.7613117359823551</v>
      </c>
    </row>
    <row r="11" spans="1:5" x14ac:dyDescent="0.55000000000000004">
      <c r="A11">
        <v>104.661996649522</v>
      </c>
      <c r="B11">
        <f t="shared" si="0"/>
        <v>4.6507360782465339</v>
      </c>
    </row>
    <row r="12" spans="1:5" x14ac:dyDescent="0.55000000000000004">
      <c r="A12">
        <v>87.190927718312395</v>
      </c>
      <c r="B12">
        <f t="shared" si="0"/>
        <v>4.4681002855747955</v>
      </c>
    </row>
    <row r="13" spans="1:5" x14ac:dyDescent="0.55000000000000004">
      <c r="A13">
        <v>80.921998472011197</v>
      </c>
      <c r="B13">
        <f t="shared" si="0"/>
        <v>4.393485708880533</v>
      </c>
    </row>
    <row r="14" spans="1:5" x14ac:dyDescent="0.55000000000000004">
      <c r="A14">
        <v>96.189993103131002</v>
      </c>
      <c r="B14">
        <f t="shared" si="0"/>
        <v>4.5663253304640437</v>
      </c>
    </row>
    <row r="15" spans="1:5" x14ac:dyDescent="0.55000000000000004">
      <c r="A15">
        <v>135.53583770751101</v>
      </c>
      <c r="B15">
        <f t="shared" si="0"/>
        <v>4.9092360902760639</v>
      </c>
    </row>
    <row r="16" spans="1:5" x14ac:dyDescent="0.55000000000000004">
      <c r="A16">
        <v>72.743539200565806</v>
      </c>
      <c r="B16">
        <f t="shared" si="0"/>
        <v>4.2869400938682718</v>
      </c>
    </row>
    <row r="17" spans="1:2" x14ac:dyDescent="0.55000000000000004">
      <c r="A17">
        <v>111.957421379786</v>
      </c>
      <c r="B17">
        <f t="shared" si="0"/>
        <v>4.7181186327616746</v>
      </c>
    </row>
    <row r="18" spans="1:2" x14ac:dyDescent="0.55000000000000004">
      <c r="A18">
        <v>83.080741802521999</v>
      </c>
      <c r="B18">
        <f t="shared" si="0"/>
        <v>4.4198129277417868</v>
      </c>
    </row>
    <row r="19" spans="1:2" x14ac:dyDescent="0.55000000000000004">
      <c r="A19">
        <v>118.118117890458</v>
      </c>
      <c r="B19">
        <f t="shared" si="0"/>
        <v>4.7716851228718546</v>
      </c>
    </row>
    <row r="20" spans="1:2" x14ac:dyDescent="0.55000000000000004">
      <c r="A20">
        <v>91.730667906133405</v>
      </c>
      <c r="B20">
        <f t="shared" si="0"/>
        <v>4.5188567607131249</v>
      </c>
    </row>
    <row r="21" spans="1:2" x14ac:dyDescent="0.55000000000000004">
      <c r="A21">
        <v>105.47218605427901</v>
      </c>
      <c r="B21">
        <f t="shared" si="0"/>
        <v>4.6584472788612388</v>
      </c>
    </row>
    <row r="22" spans="1:2" x14ac:dyDescent="0.55000000000000004">
      <c r="A22">
        <v>93.358605947949997</v>
      </c>
      <c r="B22">
        <f t="shared" si="0"/>
        <v>4.5364480558611397</v>
      </c>
    </row>
    <row r="23" spans="1:2" x14ac:dyDescent="0.55000000000000004">
      <c r="A23">
        <v>88.057066237389193</v>
      </c>
      <c r="B23">
        <f t="shared" si="0"/>
        <v>4.4779850842762592</v>
      </c>
    </row>
    <row r="24" spans="1:2" x14ac:dyDescent="0.55000000000000004">
      <c r="A24">
        <v>111.450424107215</v>
      </c>
      <c r="B24">
        <f t="shared" si="0"/>
        <v>4.7135798651832284</v>
      </c>
    </row>
    <row r="25" spans="1:2" x14ac:dyDescent="0.55000000000000004">
      <c r="A25">
        <v>105.87653499960599</v>
      </c>
      <c r="B25">
        <f t="shared" si="0"/>
        <v>4.6622736510924421</v>
      </c>
    </row>
    <row r="26" spans="1:2" x14ac:dyDescent="0.55000000000000004">
      <c r="A26">
        <v>145.39329332065199</v>
      </c>
      <c r="B26">
        <f t="shared" si="0"/>
        <v>4.9794424383179337</v>
      </c>
    </row>
    <row r="27" spans="1:2" x14ac:dyDescent="0.55000000000000004">
      <c r="A27">
        <v>90.468330885967703</v>
      </c>
      <c r="B27">
        <f t="shared" si="0"/>
        <v>4.504999854502671</v>
      </c>
    </row>
    <row r="28" spans="1:2" x14ac:dyDescent="0.55000000000000004">
      <c r="A28">
        <v>108.07647564651499</v>
      </c>
      <c r="B28">
        <f t="shared" si="0"/>
        <v>4.6828390843722563</v>
      </c>
    </row>
    <row r="29" spans="1:2" x14ac:dyDescent="0.55000000000000004">
      <c r="A29">
        <v>93.166652827084107</v>
      </c>
      <c r="B29">
        <f t="shared" si="0"/>
        <v>4.53438985538053</v>
      </c>
    </row>
    <row r="30" spans="1:2" x14ac:dyDescent="0.55000000000000004">
      <c r="A30">
        <v>103.548033994758</v>
      </c>
      <c r="B30">
        <f t="shared" si="0"/>
        <v>4.6400356016136302</v>
      </c>
    </row>
    <row r="31" spans="1:2" x14ac:dyDescent="0.55000000000000004">
      <c r="A31">
        <v>63.376367102162</v>
      </c>
      <c r="B31">
        <f t="shared" si="0"/>
        <v>4.1490910333104303</v>
      </c>
    </row>
    <row r="32" spans="1:2" x14ac:dyDescent="0.55000000000000004">
      <c r="A32">
        <v>104.52068907476</v>
      </c>
      <c r="B32">
        <f t="shared" si="0"/>
        <v>4.6493850333857507</v>
      </c>
    </row>
    <row r="33" spans="1:2" x14ac:dyDescent="0.55000000000000004">
      <c r="A33">
        <v>114.258746936916</v>
      </c>
      <c r="B33">
        <f t="shared" si="0"/>
        <v>4.7384655864666732</v>
      </c>
    </row>
    <row r="34" spans="1:2" x14ac:dyDescent="0.55000000000000004">
      <c r="A34">
        <v>78.765083651383705</v>
      </c>
      <c r="B34">
        <f t="shared" si="0"/>
        <v>4.3664697977948688</v>
      </c>
    </row>
    <row r="35" spans="1:2" x14ac:dyDescent="0.55000000000000004">
      <c r="A35">
        <v>85.819097081033107</v>
      </c>
      <c r="B35">
        <f t="shared" si="0"/>
        <v>4.4522415584294146</v>
      </c>
    </row>
    <row r="36" spans="1:2" x14ac:dyDescent="0.55000000000000004">
      <c r="A36">
        <v>99.238912671081906</v>
      </c>
      <c r="B36">
        <f t="shared" si="0"/>
        <v>4.5975302022045472</v>
      </c>
    </row>
    <row r="37" spans="1:2" x14ac:dyDescent="0.55000000000000004">
      <c r="A37">
        <v>122.624227658926</v>
      </c>
      <c r="B37">
        <f t="shared" si="0"/>
        <v>4.8091246194675348</v>
      </c>
    </row>
    <row r="38" spans="1:2" x14ac:dyDescent="0.55000000000000004">
      <c r="A38">
        <v>54.062343257358997</v>
      </c>
      <c r="B38">
        <f t="shared" si="0"/>
        <v>3.9901378854020502</v>
      </c>
    </row>
    <row r="39" spans="1:2" x14ac:dyDescent="0.55000000000000004">
      <c r="A39">
        <v>122.46494934269801</v>
      </c>
      <c r="B39">
        <f t="shared" si="0"/>
        <v>4.8078248612276981</v>
      </c>
    </row>
    <row r="40" spans="1:2" x14ac:dyDescent="0.55000000000000004">
      <c r="A40">
        <v>78.011056013873798</v>
      </c>
      <c r="B40">
        <f t="shared" si="0"/>
        <v>4.3568505604125063</v>
      </c>
    </row>
    <row r="41" spans="1:2" x14ac:dyDescent="0.55000000000000004">
      <c r="A41">
        <v>122.47520720350199</v>
      </c>
      <c r="B41">
        <f t="shared" si="0"/>
        <v>4.807908619325632</v>
      </c>
    </row>
    <row r="42" spans="1:2" x14ac:dyDescent="0.55000000000000004">
      <c r="A42">
        <v>124.275498853703</v>
      </c>
      <c r="B42">
        <f t="shared" si="0"/>
        <v>4.82250086608415</v>
      </c>
    </row>
    <row r="43" spans="1:2" x14ac:dyDescent="0.55000000000000004">
      <c r="A43">
        <v>121.258813357942</v>
      </c>
      <c r="B43">
        <f t="shared" si="0"/>
        <v>4.7979272146641669</v>
      </c>
    </row>
    <row r="44" spans="1:2" x14ac:dyDescent="0.55000000000000004">
      <c r="A44">
        <v>111.458198514911</v>
      </c>
      <c r="B44">
        <f t="shared" si="0"/>
        <v>4.7136496193955848</v>
      </c>
    </row>
    <row r="45" spans="1:2" x14ac:dyDescent="0.55000000000000004">
      <c r="A45">
        <v>114.15513929501201</v>
      </c>
      <c r="B45">
        <f t="shared" si="0"/>
        <v>4.737558394257662</v>
      </c>
    </row>
    <row r="46" spans="1:2" x14ac:dyDescent="0.55000000000000004">
      <c r="A46">
        <v>117.40359942950001</v>
      </c>
      <c r="B46">
        <f t="shared" si="0"/>
        <v>4.7656175664597775</v>
      </c>
    </row>
    <row r="47" spans="1:2" x14ac:dyDescent="0.55000000000000004">
      <c r="A47">
        <v>109.47614813417501</v>
      </c>
      <c r="B47">
        <f t="shared" si="0"/>
        <v>4.6957067002705122</v>
      </c>
    </row>
    <row r="48" spans="1:2" x14ac:dyDescent="0.55000000000000004">
      <c r="A48">
        <v>109.895245291539</v>
      </c>
      <c r="B48">
        <f t="shared" si="0"/>
        <v>4.6995275965204248</v>
      </c>
    </row>
    <row r="49" spans="1:2" x14ac:dyDescent="0.55000000000000004">
      <c r="A49">
        <v>127.961135302179</v>
      </c>
      <c r="B49">
        <f t="shared" si="0"/>
        <v>4.8517265873628324</v>
      </c>
    </row>
    <row r="50" spans="1:2" x14ac:dyDescent="0.55000000000000004">
      <c r="A50">
        <v>102.834896026584</v>
      </c>
      <c r="B50">
        <f t="shared" si="0"/>
        <v>4.6331247509305955</v>
      </c>
    </row>
    <row r="51" spans="1:2" x14ac:dyDescent="0.55000000000000004">
      <c r="A51">
        <v>86.041438429140797</v>
      </c>
      <c r="B51">
        <f t="shared" si="0"/>
        <v>4.4548290224041436</v>
      </c>
    </row>
    <row r="52" spans="1:2" x14ac:dyDescent="0.55000000000000004">
      <c r="A52">
        <v>107.034316724555</v>
      </c>
      <c r="B52">
        <f t="shared" si="0"/>
        <v>4.6731495000951018</v>
      </c>
    </row>
    <row r="53" spans="1:2" x14ac:dyDescent="0.55000000000000004">
      <c r="A53">
        <v>81.604636519784904</v>
      </c>
      <c r="B53">
        <f t="shared" si="0"/>
        <v>4.4018860804512645</v>
      </c>
    </row>
    <row r="54" spans="1:2" x14ac:dyDescent="0.55000000000000004">
      <c r="A54">
        <v>79.553358480015106</v>
      </c>
      <c r="B54">
        <f t="shared" si="0"/>
        <v>4.3764279723717552</v>
      </c>
    </row>
    <row r="55" spans="1:2" x14ac:dyDescent="0.55000000000000004">
      <c r="A55">
        <v>102.92970206116701</v>
      </c>
      <c r="B55">
        <f t="shared" si="0"/>
        <v>4.634046250957061</v>
      </c>
    </row>
    <row r="56" spans="1:2" x14ac:dyDescent="0.55000000000000004">
      <c r="A56">
        <v>94.022782225098197</v>
      </c>
      <c r="B56">
        <f t="shared" si="0"/>
        <v>4.5435371170013603</v>
      </c>
    </row>
    <row r="57" spans="1:2" x14ac:dyDescent="0.55000000000000004">
      <c r="A57">
        <v>74.121613846357306</v>
      </c>
      <c r="B57">
        <f t="shared" si="0"/>
        <v>4.3057071746064208</v>
      </c>
    </row>
    <row r="58" spans="1:2" x14ac:dyDescent="0.55000000000000004">
      <c r="A58">
        <v>101.718124887255</v>
      </c>
      <c r="B58">
        <f t="shared" si="0"/>
        <v>4.6222055063224188</v>
      </c>
    </row>
    <row r="59" spans="1:2" x14ac:dyDescent="0.55000000000000004">
      <c r="A59">
        <v>105.30297361220001</v>
      </c>
      <c r="B59">
        <f t="shared" si="0"/>
        <v>4.6568416581733034</v>
      </c>
    </row>
    <row r="60" spans="1:2" x14ac:dyDescent="0.55000000000000004">
      <c r="A60">
        <v>96.224878444736703</v>
      </c>
      <c r="B60">
        <f t="shared" si="0"/>
        <v>4.5666879359290711</v>
      </c>
    </row>
    <row r="61" spans="1:2" x14ac:dyDescent="0.55000000000000004">
      <c r="A61">
        <v>94.631800537883905</v>
      </c>
      <c r="B61">
        <f t="shared" si="0"/>
        <v>4.5499935774751723</v>
      </c>
    </row>
    <row r="62" spans="1:2" x14ac:dyDescent="0.55000000000000004">
      <c r="A62">
        <v>121.774374843022</v>
      </c>
      <c r="B62">
        <f t="shared" si="0"/>
        <v>4.802169945974005</v>
      </c>
    </row>
    <row r="63" spans="1:2" x14ac:dyDescent="0.55000000000000004">
      <c r="A63">
        <v>106.497979264808</v>
      </c>
      <c r="B63">
        <f t="shared" si="0"/>
        <v>4.6681260109301093</v>
      </c>
    </row>
    <row r="64" spans="1:2" x14ac:dyDescent="0.55000000000000004">
      <c r="A64">
        <v>87.536663251021395</v>
      </c>
      <c r="B64">
        <f t="shared" si="0"/>
        <v>4.4720577141870876</v>
      </c>
    </row>
    <row r="65" spans="1:2" x14ac:dyDescent="0.55000000000000004">
      <c r="A65">
        <v>123.892427721384</v>
      </c>
      <c r="B65">
        <f t="shared" si="0"/>
        <v>4.8194136707172657</v>
      </c>
    </row>
    <row r="66" spans="1:2" x14ac:dyDescent="0.55000000000000004">
      <c r="A66">
        <v>118.187210147654</v>
      </c>
      <c r="B66">
        <f t="shared" si="0"/>
        <v>4.7722698939368025</v>
      </c>
    </row>
    <row r="67" spans="1:2" x14ac:dyDescent="0.55000000000000004">
      <c r="A67">
        <v>134.980574616224</v>
      </c>
      <c r="B67">
        <f t="shared" si="0"/>
        <v>4.905130876353347</v>
      </c>
    </row>
    <row r="68" spans="1:2" x14ac:dyDescent="0.55000000000000004">
      <c r="A68">
        <v>106.156697874293</v>
      </c>
      <c r="B68">
        <f t="shared" ref="B68:B131" si="1">LN(A68)</f>
        <v>4.6649162843620768</v>
      </c>
    </row>
    <row r="69" spans="1:2" x14ac:dyDescent="0.55000000000000004">
      <c r="A69">
        <v>76.677952053050703</v>
      </c>
      <c r="B69">
        <f t="shared" si="1"/>
        <v>4.3396142101140924</v>
      </c>
    </row>
    <row r="70" spans="1:2" x14ac:dyDescent="0.55000000000000004">
      <c r="A70">
        <v>142.637067455439</v>
      </c>
      <c r="B70">
        <f t="shared" si="1"/>
        <v>4.9603034142818441</v>
      </c>
    </row>
    <row r="71" spans="1:2" x14ac:dyDescent="0.55000000000000004">
      <c r="A71">
        <v>99.699200580433299</v>
      </c>
      <c r="B71">
        <f t="shared" si="1"/>
        <v>4.6021576586852282</v>
      </c>
    </row>
    <row r="72" spans="1:2" x14ac:dyDescent="0.55000000000000004">
      <c r="A72">
        <v>86.897813924923298</v>
      </c>
      <c r="B72">
        <f t="shared" si="1"/>
        <v>4.464732875740002</v>
      </c>
    </row>
    <row r="73" spans="1:2" x14ac:dyDescent="0.55000000000000004">
      <c r="A73">
        <v>92.631270176968798</v>
      </c>
      <c r="B73">
        <f t="shared" si="1"/>
        <v>4.5286267755433878</v>
      </c>
    </row>
    <row r="74" spans="1:2" x14ac:dyDescent="0.55000000000000004">
      <c r="A74">
        <v>97.008575289323105</v>
      </c>
      <c r="B74">
        <f t="shared" si="1"/>
        <v>4.5747993796404556</v>
      </c>
    </row>
    <row r="75" spans="1:2" x14ac:dyDescent="0.55000000000000004">
      <c r="A75">
        <v>114.77418127976399</v>
      </c>
      <c r="B75">
        <f t="shared" si="1"/>
        <v>4.74296655684706</v>
      </c>
    </row>
    <row r="76" spans="1:2" x14ac:dyDescent="0.55000000000000004">
      <c r="A76">
        <v>87.4845074487082</v>
      </c>
      <c r="B76">
        <f t="shared" si="1"/>
        <v>4.4714617199579498</v>
      </c>
    </row>
    <row r="77" spans="1:2" x14ac:dyDescent="0.55000000000000004">
      <c r="A77">
        <v>113.458931340056</v>
      </c>
      <c r="B77">
        <f t="shared" si="1"/>
        <v>4.731440933028539</v>
      </c>
    </row>
    <row r="78" spans="1:2" x14ac:dyDescent="0.55000000000000004">
      <c r="A78">
        <v>106.220930689865</v>
      </c>
      <c r="B78">
        <f t="shared" si="1"/>
        <v>4.6655211768638418</v>
      </c>
    </row>
    <row r="79" spans="1:2" x14ac:dyDescent="0.55000000000000004">
      <c r="A79">
        <v>78.176909191667505</v>
      </c>
      <c r="B79">
        <f t="shared" si="1"/>
        <v>4.3589743250689414</v>
      </c>
    </row>
    <row r="80" spans="1:2" x14ac:dyDescent="0.55000000000000004">
      <c r="A80">
        <v>146.28911523025801</v>
      </c>
      <c r="B80">
        <f t="shared" si="1"/>
        <v>4.9855849049182357</v>
      </c>
    </row>
    <row r="81" spans="1:2" x14ac:dyDescent="0.55000000000000004">
      <c r="A81">
        <v>127.004527109119</v>
      </c>
      <c r="B81">
        <f t="shared" si="1"/>
        <v>4.8442227323517653</v>
      </c>
    </row>
    <row r="82" spans="1:2" x14ac:dyDescent="0.55000000000000004">
      <c r="A82">
        <v>125.84774883499399</v>
      </c>
      <c r="B82">
        <f t="shared" si="1"/>
        <v>4.8350728337375397</v>
      </c>
    </row>
    <row r="83" spans="1:2" x14ac:dyDescent="0.55000000000000004">
      <c r="A83">
        <v>74.223892309885102</v>
      </c>
      <c r="B83">
        <f t="shared" si="1"/>
        <v>4.3070860971283649</v>
      </c>
    </row>
    <row r="84" spans="1:2" x14ac:dyDescent="0.55000000000000004">
      <c r="A84">
        <v>113.149794711718</v>
      </c>
      <c r="B84">
        <f t="shared" si="1"/>
        <v>4.7287125577758058</v>
      </c>
    </row>
    <row r="85" spans="1:2" x14ac:dyDescent="0.55000000000000004">
      <c r="A85">
        <v>107.67811622187899</v>
      </c>
      <c r="B85">
        <f t="shared" si="1"/>
        <v>4.6791463715186428</v>
      </c>
    </row>
    <row r="86" spans="1:2" x14ac:dyDescent="0.55000000000000004">
      <c r="A86">
        <v>101.629298756919</v>
      </c>
      <c r="B86">
        <f t="shared" si="1"/>
        <v>4.6213318671644315</v>
      </c>
    </row>
    <row r="87" spans="1:2" x14ac:dyDescent="0.55000000000000004">
      <c r="A87">
        <v>107.192395510826</v>
      </c>
      <c r="B87">
        <f t="shared" si="1"/>
        <v>4.6746253087215139</v>
      </c>
    </row>
    <row r="88" spans="1:2" x14ac:dyDescent="0.55000000000000004">
      <c r="A88">
        <v>76.914102690419497</v>
      </c>
      <c r="B88">
        <f t="shared" si="1"/>
        <v>4.3426892496901601</v>
      </c>
    </row>
    <row r="89" spans="1:2" x14ac:dyDescent="0.55000000000000004">
      <c r="A89">
        <v>88.263339073691995</v>
      </c>
      <c r="B89">
        <f t="shared" si="1"/>
        <v>4.4803248353679281</v>
      </c>
    </row>
    <row r="90" spans="1:2" x14ac:dyDescent="0.55000000000000004">
      <c r="A90">
        <v>75.421120087534803</v>
      </c>
      <c r="B90">
        <f t="shared" si="1"/>
        <v>4.3230873430529302</v>
      </c>
    </row>
    <row r="91" spans="1:2" x14ac:dyDescent="0.55000000000000004">
      <c r="A91">
        <v>143.86896594385399</v>
      </c>
      <c r="B91">
        <f t="shared" si="1"/>
        <v>4.9689029265889975</v>
      </c>
    </row>
    <row r="92" spans="1:2" x14ac:dyDescent="0.55000000000000004">
      <c r="A92">
        <v>134.641509829043</v>
      </c>
      <c r="B92">
        <f t="shared" si="1"/>
        <v>4.9026157636420393</v>
      </c>
    </row>
    <row r="93" spans="1:2" x14ac:dyDescent="0.55000000000000004">
      <c r="A93">
        <v>106.518011907164</v>
      </c>
      <c r="B93">
        <f t="shared" si="1"/>
        <v>4.6683140967381727</v>
      </c>
    </row>
    <row r="94" spans="1:2" x14ac:dyDescent="0.55000000000000004">
      <c r="A94">
        <v>116.488508501521</v>
      </c>
      <c r="B94">
        <f t="shared" si="1"/>
        <v>4.7577926286686401</v>
      </c>
    </row>
    <row r="95" spans="1:2" x14ac:dyDescent="0.55000000000000004">
      <c r="A95">
        <v>133.51305361168099</v>
      </c>
      <c r="B95">
        <f t="shared" si="1"/>
        <v>4.8941992529229443</v>
      </c>
    </row>
    <row r="96" spans="1:2" x14ac:dyDescent="0.55000000000000004">
      <c r="A96">
        <v>110.239338132318</v>
      </c>
      <c r="B96">
        <f t="shared" si="1"/>
        <v>4.7026538033677712</v>
      </c>
    </row>
    <row r="97" spans="1:2" x14ac:dyDescent="0.55000000000000004">
      <c r="A97">
        <v>100.054991463387</v>
      </c>
      <c r="B97">
        <f t="shared" si="1"/>
        <v>4.6057199494743184</v>
      </c>
    </row>
    <row r="98" spans="1:2" x14ac:dyDescent="0.55000000000000004">
      <c r="A98">
        <v>89.276456942368995</v>
      </c>
      <c r="B98">
        <f t="shared" si="1"/>
        <v>4.4917378130602454</v>
      </c>
    </row>
    <row r="99" spans="1:2" x14ac:dyDescent="0.55000000000000004">
      <c r="A99">
        <v>102.999853668203</v>
      </c>
      <c r="B99">
        <f t="shared" si="1"/>
        <v>4.6347275675315682</v>
      </c>
    </row>
    <row r="100" spans="1:2" x14ac:dyDescent="0.55000000000000004">
      <c r="A100">
        <v>80.332583426768295</v>
      </c>
      <c r="B100">
        <f t="shared" si="1"/>
        <v>4.3861753098424803</v>
      </c>
    </row>
    <row r="101" spans="1:2" x14ac:dyDescent="0.55000000000000004">
      <c r="A101">
        <v>106.06568241154601</v>
      </c>
      <c r="B101">
        <f t="shared" si="1"/>
        <v>4.6640585476030747</v>
      </c>
    </row>
    <row r="102" spans="1:2" x14ac:dyDescent="0.55000000000000004">
      <c r="A102">
        <v>85.582040188418404</v>
      </c>
      <c r="B102">
        <f t="shared" si="1"/>
        <v>4.4494754502513514</v>
      </c>
    </row>
    <row r="103" spans="1:2" x14ac:dyDescent="0.55000000000000004">
      <c r="A103">
        <v>111.72123965412101</v>
      </c>
      <c r="B103">
        <f t="shared" si="1"/>
        <v>4.7160068370959829</v>
      </c>
    </row>
    <row r="104" spans="1:2" x14ac:dyDescent="0.55000000000000004">
      <c r="A104">
        <v>101.357946260627</v>
      </c>
      <c r="B104">
        <f t="shared" si="1"/>
        <v>4.6186582739748063</v>
      </c>
    </row>
    <row r="105" spans="1:2" x14ac:dyDescent="0.55000000000000004">
      <c r="A105">
        <v>101.054227337791</v>
      </c>
      <c r="B105">
        <f t="shared" si="1"/>
        <v>4.615657277094261</v>
      </c>
    </row>
    <row r="106" spans="1:2" x14ac:dyDescent="0.55000000000000004">
      <c r="A106">
        <v>128.55173431745101</v>
      </c>
      <c r="B106">
        <f t="shared" si="1"/>
        <v>4.8563314250051848</v>
      </c>
    </row>
    <row r="107" spans="1:2" x14ac:dyDescent="0.55000000000000004">
      <c r="A107">
        <v>101.662701875466</v>
      </c>
      <c r="B107">
        <f t="shared" si="1"/>
        <v>4.6216604892326263</v>
      </c>
    </row>
    <row r="108" spans="1:2" x14ac:dyDescent="0.55000000000000004">
      <c r="A108">
        <v>78.367119139815799</v>
      </c>
      <c r="B108">
        <f t="shared" si="1"/>
        <v>4.3614044406572789</v>
      </c>
    </row>
    <row r="109" spans="1:2" x14ac:dyDescent="0.55000000000000004">
      <c r="A109">
        <v>93.852973382191493</v>
      </c>
      <c r="B109">
        <f t="shared" si="1"/>
        <v>4.54172944481292</v>
      </c>
    </row>
    <row r="110" spans="1:2" x14ac:dyDescent="0.55000000000000004">
      <c r="A110">
        <v>74.266223002338194</v>
      </c>
      <c r="B110">
        <f t="shared" si="1"/>
        <v>4.3076562454309748</v>
      </c>
    </row>
    <row r="111" spans="1:2" x14ac:dyDescent="0.55000000000000004">
      <c r="A111">
        <v>137.35084981906101</v>
      </c>
      <c r="B111">
        <f t="shared" si="1"/>
        <v>4.9225385997741329</v>
      </c>
    </row>
    <row r="112" spans="1:2" x14ac:dyDescent="0.55000000000000004">
      <c r="A112">
        <v>111.03582427013799</v>
      </c>
      <c r="B112">
        <f t="shared" si="1"/>
        <v>4.7098528904150196</v>
      </c>
    </row>
    <row r="113" spans="1:2" x14ac:dyDescent="0.55000000000000004">
      <c r="A113">
        <v>131.793836182391</v>
      </c>
      <c r="B113">
        <f t="shared" si="1"/>
        <v>4.8812388545286236</v>
      </c>
    </row>
    <row r="114" spans="1:2" x14ac:dyDescent="0.55000000000000004">
      <c r="A114">
        <v>144.01069927469001</v>
      </c>
      <c r="B114">
        <f t="shared" si="1"/>
        <v>4.9698875973345347</v>
      </c>
    </row>
    <row r="115" spans="1:2" x14ac:dyDescent="0.55000000000000004">
      <c r="A115">
        <v>111.99171696382901</v>
      </c>
      <c r="B115">
        <f t="shared" si="1"/>
        <v>4.7184249128801401</v>
      </c>
    </row>
    <row r="116" spans="1:2" x14ac:dyDescent="0.55000000000000004">
      <c r="A116">
        <v>93.368080081850295</v>
      </c>
      <c r="B116">
        <f t="shared" si="1"/>
        <v>4.5365495318109348</v>
      </c>
    </row>
    <row r="117" spans="1:2" x14ac:dyDescent="0.55000000000000004">
      <c r="A117">
        <v>99.340889187277298</v>
      </c>
      <c r="B117">
        <f t="shared" si="1"/>
        <v>4.5985572605881817</v>
      </c>
    </row>
    <row r="118" spans="1:2" x14ac:dyDescent="0.55000000000000004">
      <c r="A118">
        <v>150.759592508297</v>
      </c>
      <c r="B118">
        <f t="shared" si="1"/>
        <v>5.0156864654787059</v>
      </c>
    </row>
    <row r="119" spans="1:2" x14ac:dyDescent="0.55000000000000004">
      <c r="A119">
        <v>97.678772794984098</v>
      </c>
      <c r="B119">
        <f t="shared" si="1"/>
        <v>4.5816842661996136</v>
      </c>
    </row>
    <row r="120" spans="1:2" x14ac:dyDescent="0.55000000000000004">
      <c r="A120">
        <v>147.030126652928</v>
      </c>
      <c r="B120">
        <f t="shared" si="1"/>
        <v>4.9906375089979411</v>
      </c>
    </row>
    <row r="121" spans="1:2" x14ac:dyDescent="0.55000000000000004">
      <c r="A121">
        <v>64.174900984070007</v>
      </c>
      <c r="B121">
        <f t="shared" si="1"/>
        <v>4.1616121838509885</v>
      </c>
    </row>
    <row r="122" spans="1:2" x14ac:dyDescent="0.55000000000000004">
      <c r="A122">
        <v>95.107969146372895</v>
      </c>
      <c r="B122">
        <f t="shared" si="1"/>
        <v>4.5550127635838802</v>
      </c>
    </row>
    <row r="123" spans="1:2" x14ac:dyDescent="0.55000000000000004">
      <c r="A123">
        <v>98.391654970936798</v>
      </c>
      <c r="B123">
        <f t="shared" si="1"/>
        <v>4.5889559932559463</v>
      </c>
    </row>
    <row r="124" spans="1:2" x14ac:dyDescent="0.55000000000000004">
      <c r="A124">
        <v>81.235994502537807</v>
      </c>
      <c r="B124">
        <f t="shared" si="1"/>
        <v>4.3973584309981275</v>
      </c>
    </row>
    <row r="125" spans="1:2" x14ac:dyDescent="0.55000000000000004">
      <c r="A125">
        <v>133.47145726366199</v>
      </c>
      <c r="B125">
        <f t="shared" si="1"/>
        <v>4.8938876517126779</v>
      </c>
    </row>
    <row r="126" spans="1:2" x14ac:dyDescent="0.55000000000000004">
      <c r="A126">
        <v>122.36444330915</v>
      </c>
      <c r="B126">
        <f t="shared" si="1"/>
        <v>4.8070038320358579</v>
      </c>
    </row>
    <row r="127" spans="1:2" x14ac:dyDescent="0.55000000000000004">
      <c r="A127">
        <v>97.269707756054203</v>
      </c>
      <c r="B127">
        <f t="shared" si="1"/>
        <v>4.5774876124155854</v>
      </c>
    </row>
    <row r="128" spans="1:2" x14ac:dyDescent="0.55000000000000004">
      <c r="A128">
        <v>68.808524513473898</v>
      </c>
      <c r="B128">
        <f t="shared" si="1"/>
        <v>4.2313276400760991</v>
      </c>
    </row>
    <row r="129" spans="1:2" x14ac:dyDescent="0.55000000000000004">
      <c r="A129">
        <v>140.88745097864401</v>
      </c>
      <c r="B129">
        <f t="shared" si="1"/>
        <v>4.9479613516213279</v>
      </c>
    </row>
    <row r="130" spans="1:2" x14ac:dyDescent="0.55000000000000004">
      <c r="A130">
        <v>131.89662157792401</v>
      </c>
      <c r="B130">
        <f t="shared" si="1"/>
        <v>4.8820184458844258</v>
      </c>
    </row>
    <row r="131" spans="1:2" x14ac:dyDescent="0.55000000000000004">
      <c r="A131">
        <v>127.744870278487</v>
      </c>
      <c r="B131">
        <f t="shared" si="1"/>
        <v>4.8500350739017692</v>
      </c>
    </row>
    <row r="132" spans="1:2" x14ac:dyDescent="0.55000000000000004">
      <c r="A132">
        <v>67.753271695633998</v>
      </c>
      <c r="B132">
        <f t="shared" ref="B132:B195" si="2">LN(A132)</f>
        <v>4.2158727493043164</v>
      </c>
    </row>
    <row r="133" spans="1:2" x14ac:dyDescent="0.55000000000000004">
      <c r="A133">
        <v>108.72169080954799</v>
      </c>
      <c r="B133">
        <f t="shared" si="2"/>
        <v>4.6887913216861596</v>
      </c>
    </row>
    <row r="134" spans="1:2" x14ac:dyDescent="0.55000000000000004">
      <c r="A134">
        <v>106.15512784871299</v>
      </c>
      <c r="B134">
        <f t="shared" si="2"/>
        <v>4.664901494553976</v>
      </c>
    </row>
    <row r="135" spans="1:2" x14ac:dyDescent="0.55000000000000004">
      <c r="A135">
        <v>91.779011068700697</v>
      </c>
      <c r="B135">
        <f t="shared" si="2"/>
        <v>4.5193836338890323</v>
      </c>
    </row>
    <row r="136" spans="1:2" x14ac:dyDescent="0.55000000000000004">
      <c r="A136">
        <v>100.905172742101</v>
      </c>
      <c r="B136">
        <f t="shared" si="2"/>
        <v>4.6141811920722748</v>
      </c>
    </row>
    <row r="137" spans="1:2" x14ac:dyDescent="0.55000000000000004">
      <c r="A137">
        <v>153.52306033893299</v>
      </c>
      <c r="B137">
        <f t="shared" si="2"/>
        <v>5.0338507859648844</v>
      </c>
    </row>
    <row r="138" spans="1:2" x14ac:dyDescent="0.55000000000000004">
      <c r="A138">
        <v>97.214751908720203</v>
      </c>
      <c r="B138">
        <f t="shared" si="2"/>
        <v>4.5769224685589363</v>
      </c>
    </row>
    <row r="139" spans="1:2" x14ac:dyDescent="0.55000000000000004">
      <c r="A139">
        <v>119.814377968626</v>
      </c>
      <c r="B139">
        <f t="shared" si="2"/>
        <v>4.7859436949125573</v>
      </c>
    </row>
    <row r="140" spans="1:2" x14ac:dyDescent="0.55000000000000004">
      <c r="A140">
        <v>85.455996901308794</v>
      </c>
      <c r="B140">
        <f t="shared" si="2"/>
        <v>4.4480015873367513</v>
      </c>
    </row>
    <row r="141" spans="1:2" x14ac:dyDescent="0.55000000000000004">
      <c r="A141">
        <v>150.95764275358999</v>
      </c>
      <c r="B141">
        <f t="shared" si="2"/>
        <v>5.0169992858985673</v>
      </c>
    </row>
    <row r="142" spans="1:2" x14ac:dyDescent="0.55000000000000004">
      <c r="A142">
        <v>112.291693502294</v>
      </c>
      <c r="B142">
        <f t="shared" si="2"/>
        <v>4.721099891976591</v>
      </c>
    </row>
    <row r="143" spans="1:2" x14ac:dyDescent="0.55000000000000004">
      <c r="A143">
        <v>77.837569072018297</v>
      </c>
      <c r="B143">
        <f t="shared" si="2"/>
        <v>4.354624207585597</v>
      </c>
    </row>
    <row r="144" spans="1:2" x14ac:dyDescent="0.55000000000000004">
      <c r="A144">
        <v>103.34604593044401</v>
      </c>
      <c r="B144">
        <f t="shared" si="2"/>
        <v>4.6380830263774406</v>
      </c>
    </row>
    <row r="145" spans="1:2" x14ac:dyDescent="0.55000000000000004">
      <c r="A145">
        <v>110.173366410657</v>
      </c>
      <c r="B145">
        <f t="shared" si="2"/>
        <v>4.7020551833946822</v>
      </c>
    </row>
    <row r="146" spans="1:2" x14ac:dyDescent="0.55000000000000004">
      <c r="A146">
        <v>101.117211598073</v>
      </c>
      <c r="B146">
        <f t="shared" si="2"/>
        <v>4.6162803548410603</v>
      </c>
    </row>
    <row r="147" spans="1:2" x14ac:dyDescent="0.55000000000000004">
      <c r="A147">
        <v>85.530881115786897</v>
      </c>
      <c r="B147">
        <f t="shared" si="2"/>
        <v>4.4488774933727484</v>
      </c>
    </row>
    <row r="148" spans="1:2" x14ac:dyDescent="0.55000000000000004">
      <c r="A148">
        <v>103.54229083336899</v>
      </c>
      <c r="B148">
        <f t="shared" si="2"/>
        <v>4.639980136333973</v>
      </c>
    </row>
    <row r="149" spans="1:2" x14ac:dyDescent="0.55000000000000004">
      <c r="A149">
        <v>115.46504949535699</v>
      </c>
      <c r="B149">
        <f t="shared" si="2"/>
        <v>4.7489678823968928</v>
      </c>
    </row>
    <row r="150" spans="1:2" x14ac:dyDescent="0.55000000000000004">
      <c r="A150">
        <v>142.81442095199699</v>
      </c>
      <c r="B150">
        <f t="shared" si="2"/>
        <v>4.9615460318654367</v>
      </c>
    </row>
    <row r="151" spans="1:2" x14ac:dyDescent="0.55000000000000004">
      <c r="A151">
        <v>130.58993854512499</v>
      </c>
      <c r="B151">
        <f t="shared" si="2"/>
        <v>4.8720621736381702</v>
      </c>
    </row>
    <row r="152" spans="1:2" x14ac:dyDescent="0.55000000000000004">
      <c r="A152">
        <v>54.438514336715798</v>
      </c>
      <c r="B152">
        <f t="shared" si="2"/>
        <v>3.997071887490165</v>
      </c>
    </row>
    <row r="153" spans="1:2" x14ac:dyDescent="0.55000000000000004">
      <c r="A153">
        <v>89.747739624448201</v>
      </c>
      <c r="B153">
        <f t="shared" si="2"/>
        <v>4.4970028418083174</v>
      </c>
    </row>
    <row r="154" spans="1:2" x14ac:dyDescent="0.55000000000000004">
      <c r="A154">
        <v>117.818952732124</v>
      </c>
      <c r="B154">
        <f t="shared" si="2"/>
        <v>4.7691491473434953</v>
      </c>
    </row>
    <row r="155" spans="1:2" x14ac:dyDescent="0.55000000000000004">
      <c r="A155">
        <v>92.430155917967994</v>
      </c>
      <c r="B155">
        <f t="shared" si="2"/>
        <v>4.5264532881514725</v>
      </c>
    </row>
    <row r="156" spans="1:2" x14ac:dyDescent="0.55000000000000004">
      <c r="A156">
        <v>101.070144567837</v>
      </c>
      <c r="B156">
        <f t="shared" si="2"/>
        <v>4.6158147764589232</v>
      </c>
    </row>
    <row r="157" spans="1:2" x14ac:dyDescent="0.55000000000000004">
      <c r="A157">
        <v>90.702457582880299</v>
      </c>
      <c r="B157">
        <f t="shared" si="2"/>
        <v>4.507584452485875</v>
      </c>
    </row>
    <row r="158" spans="1:2" x14ac:dyDescent="0.55000000000000004">
      <c r="A158">
        <v>162.40150250698099</v>
      </c>
      <c r="B158">
        <f t="shared" si="2"/>
        <v>5.0900716795750558</v>
      </c>
    </row>
    <row r="159" spans="1:2" x14ac:dyDescent="0.55000000000000004">
      <c r="A159">
        <v>85.016645712062996</v>
      </c>
      <c r="B159">
        <f t="shared" si="2"/>
        <v>4.4428470692243751</v>
      </c>
    </row>
    <row r="160" spans="1:2" x14ac:dyDescent="0.55000000000000004">
      <c r="A160">
        <v>103.336214224822</v>
      </c>
      <c r="B160">
        <f t="shared" si="2"/>
        <v>4.6379878880175056</v>
      </c>
    </row>
    <row r="161" spans="1:2" x14ac:dyDescent="0.55000000000000004">
      <c r="A161">
        <v>89.9485753004803</v>
      </c>
      <c r="B161">
        <f t="shared" si="2"/>
        <v>4.4992381214771138</v>
      </c>
    </row>
    <row r="162" spans="1:2" x14ac:dyDescent="0.55000000000000004">
      <c r="A162">
        <v>143.93344178847099</v>
      </c>
      <c r="B162">
        <f t="shared" si="2"/>
        <v>4.9693509829218385</v>
      </c>
    </row>
    <row r="163" spans="1:2" x14ac:dyDescent="0.55000000000000004">
      <c r="A163">
        <v>95.047155198640695</v>
      </c>
      <c r="B163">
        <f t="shared" si="2"/>
        <v>4.5543731389614566</v>
      </c>
    </row>
    <row r="164" spans="1:2" x14ac:dyDescent="0.55000000000000004">
      <c r="A164">
        <v>101.03477431732399</v>
      </c>
      <c r="B164">
        <f t="shared" si="2"/>
        <v>4.6154647577550811</v>
      </c>
    </row>
    <row r="165" spans="1:2" x14ac:dyDescent="0.55000000000000004">
      <c r="A165">
        <v>120.86813737639601</v>
      </c>
      <c r="B165">
        <f t="shared" si="2"/>
        <v>4.7947001776127758</v>
      </c>
    </row>
    <row r="166" spans="1:2" x14ac:dyDescent="0.55000000000000004">
      <c r="A166">
        <v>109.308466310328</v>
      </c>
      <c r="B166">
        <f t="shared" si="2"/>
        <v>4.6941738515635301</v>
      </c>
    </row>
    <row r="167" spans="1:2" x14ac:dyDescent="0.55000000000000004">
      <c r="A167">
        <v>100.676206219896</v>
      </c>
      <c r="B167">
        <f t="shared" si="2"/>
        <v>4.6119094879907587</v>
      </c>
    </row>
    <row r="168" spans="1:2" x14ac:dyDescent="0.55000000000000004">
      <c r="A168">
        <v>104.013635071167</v>
      </c>
      <c r="B168">
        <f t="shared" si="2"/>
        <v>4.6445219970012017</v>
      </c>
    </row>
    <row r="169" spans="1:2" x14ac:dyDescent="0.55000000000000004">
      <c r="A169">
        <v>103.947895073384</v>
      </c>
      <c r="B169">
        <f t="shared" si="2"/>
        <v>4.6438897646847046</v>
      </c>
    </row>
    <row r="170" spans="1:2" x14ac:dyDescent="0.55000000000000004">
      <c r="A170">
        <v>86.436311467503302</v>
      </c>
      <c r="B170">
        <f t="shared" si="2"/>
        <v>4.4594078591352524</v>
      </c>
    </row>
    <row r="171" spans="1:2" x14ac:dyDescent="0.55000000000000004">
      <c r="A171">
        <v>94.429923416215104</v>
      </c>
      <c r="B171">
        <f t="shared" si="2"/>
        <v>4.5478580082634776</v>
      </c>
    </row>
    <row r="172" spans="1:2" x14ac:dyDescent="0.55000000000000004">
      <c r="A172">
        <v>91.523013541502095</v>
      </c>
      <c r="B172">
        <f t="shared" si="2"/>
        <v>4.5165904547718805</v>
      </c>
    </row>
    <row r="173" spans="1:2" x14ac:dyDescent="0.55000000000000004">
      <c r="A173">
        <v>104.511119544433</v>
      </c>
      <c r="B173">
        <f t="shared" si="2"/>
        <v>4.6492934728677904</v>
      </c>
    </row>
    <row r="174" spans="1:2" x14ac:dyDescent="0.55000000000000004">
      <c r="A174">
        <v>117.00467832441799</v>
      </c>
      <c r="B174">
        <f t="shared" si="2"/>
        <v>4.7622139196771363</v>
      </c>
    </row>
    <row r="175" spans="1:2" x14ac:dyDescent="0.55000000000000004">
      <c r="A175">
        <v>140.998872215342</v>
      </c>
      <c r="B175">
        <f t="shared" si="2"/>
        <v>4.948751891873429</v>
      </c>
    </row>
    <row r="176" spans="1:2" x14ac:dyDescent="0.55000000000000004">
      <c r="A176">
        <v>68.786017950217598</v>
      </c>
      <c r="B176">
        <f t="shared" si="2"/>
        <v>4.2310004968180301</v>
      </c>
    </row>
    <row r="177" spans="1:2" x14ac:dyDescent="0.55000000000000004">
      <c r="A177">
        <v>80.616830180291799</v>
      </c>
      <c r="B177">
        <f t="shared" si="2"/>
        <v>4.3897074388844377</v>
      </c>
    </row>
    <row r="178" spans="1:2" x14ac:dyDescent="0.55000000000000004">
      <c r="A178">
        <v>142.788095814954</v>
      </c>
      <c r="B178">
        <f t="shared" si="2"/>
        <v>4.9613616837902477</v>
      </c>
    </row>
    <row r="179" spans="1:2" x14ac:dyDescent="0.55000000000000004">
      <c r="A179">
        <v>133.11660942902799</v>
      </c>
      <c r="B179">
        <f t="shared" si="2"/>
        <v>4.8912255067141865</v>
      </c>
    </row>
    <row r="180" spans="1:2" x14ac:dyDescent="0.55000000000000004">
      <c r="A180">
        <v>105.675671997314</v>
      </c>
      <c r="B180">
        <f t="shared" si="2"/>
        <v>4.6603747055271603</v>
      </c>
    </row>
    <row r="181" spans="1:2" x14ac:dyDescent="0.55000000000000004">
      <c r="A181">
        <v>73.720675585947404</v>
      </c>
      <c r="B181">
        <f t="shared" si="2"/>
        <v>4.3002832969748699</v>
      </c>
    </row>
    <row r="182" spans="1:2" x14ac:dyDescent="0.55000000000000004">
      <c r="A182">
        <v>114.274596129602</v>
      </c>
      <c r="B182">
        <f t="shared" si="2"/>
        <v>4.7386042900142495</v>
      </c>
    </row>
    <row r="183" spans="1:2" x14ac:dyDescent="0.55000000000000004">
      <c r="A183">
        <v>115.51236873363</v>
      </c>
      <c r="B183">
        <f t="shared" si="2"/>
        <v>4.7493776128311307</v>
      </c>
    </row>
    <row r="184" spans="1:2" x14ac:dyDescent="0.55000000000000004">
      <c r="A184">
        <v>122.405868044229</v>
      </c>
      <c r="B184">
        <f t="shared" si="2"/>
        <v>4.8073423104668853</v>
      </c>
    </row>
    <row r="185" spans="1:2" x14ac:dyDescent="0.55000000000000004">
      <c r="A185">
        <v>105.25129743754199</v>
      </c>
      <c r="B185">
        <f t="shared" si="2"/>
        <v>4.6563507996840601</v>
      </c>
    </row>
    <row r="186" spans="1:2" x14ac:dyDescent="0.55000000000000004">
      <c r="A186">
        <v>154.66152107739899</v>
      </c>
      <c r="B186">
        <f t="shared" si="2"/>
        <v>5.0412389941085962</v>
      </c>
    </row>
    <row r="187" spans="1:2" x14ac:dyDescent="0.55000000000000004">
      <c r="A187">
        <v>95.283548328696796</v>
      </c>
      <c r="B187">
        <f t="shared" si="2"/>
        <v>4.5568571654188608</v>
      </c>
    </row>
    <row r="188" spans="1:2" x14ac:dyDescent="0.55000000000000004">
      <c r="A188">
        <v>95.731554733129599</v>
      </c>
      <c r="B188">
        <f t="shared" si="2"/>
        <v>4.5615479696404373</v>
      </c>
    </row>
    <row r="189" spans="1:2" x14ac:dyDescent="0.55000000000000004">
      <c r="A189">
        <v>87.274307061809196</v>
      </c>
      <c r="B189">
        <f t="shared" si="2"/>
        <v>4.4690561132495734</v>
      </c>
    </row>
    <row r="190" spans="1:2" x14ac:dyDescent="0.55000000000000004">
      <c r="A190">
        <v>112.28078677422199</v>
      </c>
      <c r="B190">
        <f t="shared" si="2"/>
        <v>4.7210027587208412</v>
      </c>
    </row>
    <row r="191" spans="1:2" x14ac:dyDescent="0.55000000000000004">
      <c r="A191">
        <v>105.845977190315</v>
      </c>
      <c r="B191">
        <f t="shared" si="2"/>
        <v>4.6619849920435099</v>
      </c>
    </row>
    <row r="192" spans="1:2" x14ac:dyDescent="0.55000000000000004">
      <c r="A192">
        <v>106.928795184926</v>
      </c>
      <c r="B192">
        <f t="shared" si="2"/>
        <v>4.6721631473799787</v>
      </c>
    </row>
    <row r="193" spans="1:2" x14ac:dyDescent="0.55000000000000004">
      <c r="A193">
        <v>132.665084953475</v>
      </c>
      <c r="B193">
        <f t="shared" si="2"/>
        <v>4.8878277940840116</v>
      </c>
    </row>
    <row r="194" spans="1:2" x14ac:dyDescent="0.55000000000000004">
      <c r="A194">
        <v>100.08435752210301</v>
      </c>
      <c r="B194">
        <f t="shared" si="2"/>
        <v>4.6060134055995192</v>
      </c>
    </row>
    <row r="195" spans="1:2" x14ac:dyDescent="0.55000000000000004">
      <c r="A195">
        <v>117.921836608782</v>
      </c>
      <c r="B195">
        <f t="shared" si="2"/>
        <v>4.7700220033602898</v>
      </c>
    </row>
    <row r="196" spans="1:2" x14ac:dyDescent="0.55000000000000004">
      <c r="A196">
        <v>89.673926853134404</v>
      </c>
      <c r="B196">
        <f t="shared" ref="B196:B259" si="3">LN(A196)</f>
        <v>4.4961800562782646</v>
      </c>
    </row>
    <row r="197" spans="1:2" x14ac:dyDescent="0.55000000000000004">
      <c r="A197">
        <v>104.95937732600299</v>
      </c>
      <c r="B197">
        <f t="shared" si="3"/>
        <v>4.6535733926896432</v>
      </c>
    </row>
    <row r="198" spans="1:2" x14ac:dyDescent="0.55000000000000004">
      <c r="A198">
        <v>110.610345307356</v>
      </c>
      <c r="B198">
        <f t="shared" si="3"/>
        <v>4.7060136227550178</v>
      </c>
    </row>
    <row r="199" spans="1:2" x14ac:dyDescent="0.55000000000000004">
      <c r="A199">
        <v>104.61192734037</v>
      </c>
      <c r="B199">
        <f t="shared" si="3"/>
        <v>4.6502575732407232</v>
      </c>
    </row>
    <row r="200" spans="1:2" x14ac:dyDescent="0.55000000000000004">
      <c r="A200">
        <v>61.465988614613998</v>
      </c>
      <c r="B200">
        <f t="shared" si="3"/>
        <v>4.1184839911779321</v>
      </c>
    </row>
    <row r="201" spans="1:2" x14ac:dyDescent="0.55000000000000004">
      <c r="A201">
        <v>142.97207097484099</v>
      </c>
      <c r="B201">
        <f t="shared" si="3"/>
        <v>4.9626493033165966</v>
      </c>
    </row>
    <row r="202" spans="1:2" x14ac:dyDescent="0.55000000000000004">
      <c r="A202">
        <v>100.36516391441</v>
      </c>
      <c r="B202">
        <f t="shared" si="3"/>
        <v>4.6088151740845387</v>
      </c>
    </row>
    <row r="203" spans="1:2" x14ac:dyDescent="0.55000000000000004">
      <c r="A203">
        <v>102.754554280132</v>
      </c>
      <c r="B203">
        <f t="shared" si="3"/>
        <v>4.6323431762882983</v>
      </c>
    </row>
    <row r="204" spans="1:2" x14ac:dyDescent="0.55000000000000004">
      <c r="A204">
        <v>120.300902974789</v>
      </c>
      <c r="B204">
        <f t="shared" si="3"/>
        <v>4.7899961289773092</v>
      </c>
    </row>
    <row r="205" spans="1:2" x14ac:dyDescent="0.55000000000000004">
      <c r="A205">
        <v>92.225188500719298</v>
      </c>
      <c r="B205">
        <f t="shared" si="3"/>
        <v>4.5242332874027902</v>
      </c>
    </row>
    <row r="206" spans="1:2" x14ac:dyDescent="0.55000000000000004">
      <c r="A206">
        <v>101.61420646805099</v>
      </c>
      <c r="B206">
        <f t="shared" si="3"/>
        <v>4.621183352810883</v>
      </c>
    </row>
    <row r="207" spans="1:2" x14ac:dyDescent="0.55000000000000004">
      <c r="A207">
        <v>92.175089529903204</v>
      </c>
      <c r="B207">
        <f t="shared" si="3"/>
        <v>4.5236899154232697</v>
      </c>
    </row>
    <row r="208" spans="1:2" x14ac:dyDescent="0.55000000000000004">
      <c r="A208">
        <v>173.15927961001501</v>
      </c>
      <c r="B208">
        <f t="shared" si="3"/>
        <v>5.1542118623088022</v>
      </c>
    </row>
    <row r="209" spans="1:2" x14ac:dyDescent="0.55000000000000004">
      <c r="A209">
        <v>66.579384089235603</v>
      </c>
      <c r="B209">
        <f t="shared" si="3"/>
        <v>4.1983949814167314</v>
      </c>
    </row>
    <row r="210" spans="1:2" x14ac:dyDescent="0.55000000000000004">
      <c r="A210">
        <v>97.093822872036</v>
      </c>
      <c r="B210">
        <f t="shared" si="3"/>
        <v>4.5756777571257565</v>
      </c>
    </row>
    <row r="211" spans="1:2" x14ac:dyDescent="0.55000000000000004">
      <c r="A211">
        <v>85.408282367494095</v>
      </c>
      <c r="B211">
        <f t="shared" si="3"/>
        <v>4.447443079317881</v>
      </c>
    </row>
    <row r="212" spans="1:2" x14ac:dyDescent="0.55000000000000004">
      <c r="A212">
        <v>85.090480837155297</v>
      </c>
      <c r="B212">
        <f t="shared" si="3"/>
        <v>4.4437151707698774</v>
      </c>
    </row>
    <row r="213" spans="1:2" x14ac:dyDescent="0.55000000000000004">
      <c r="A213">
        <v>106.47222679085201</v>
      </c>
      <c r="B213">
        <f t="shared" si="3"/>
        <v>4.6678841698335685</v>
      </c>
    </row>
    <row r="214" spans="1:2" x14ac:dyDescent="0.55000000000000004">
      <c r="A214">
        <v>100.475109209965</v>
      </c>
      <c r="B214">
        <f t="shared" si="3"/>
        <v>4.6099100272713747</v>
      </c>
    </row>
    <row r="215" spans="1:2" x14ac:dyDescent="0.55000000000000004">
      <c r="A215">
        <v>91.142658348178799</v>
      </c>
      <c r="B215">
        <f t="shared" si="3"/>
        <v>4.5124259531542634</v>
      </c>
    </row>
    <row r="216" spans="1:2" x14ac:dyDescent="0.55000000000000004">
      <c r="A216">
        <v>113.19569474087599</v>
      </c>
      <c r="B216">
        <f t="shared" si="3"/>
        <v>4.7291181327214185</v>
      </c>
    </row>
    <row r="217" spans="1:2" x14ac:dyDescent="0.55000000000000004">
      <c r="A217">
        <v>91.828398020395298</v>
      </c>
      <c r="B217">
        <f t="shared" si="3"/>
        <v>4.519921596416042</v>
      </c>
    </row>
    <row r="218" spans="1:2" x14ac:dyDescent="0.55000000000000004">
      <c r="A218">
        <v>106.28356352885901</v>
      </c>
      <c r="B218">
        <f t="shared" si="3"/>
        <v>4.6661106499574618</v>
      </c>
    </row>
    <row r="219" spans="1:2" x14ac:dyDescent="0.55000000000000004">
      <c r="A219">
        <v>123.212425745413</v>
      </c>
      <c r="B219">
        <f t="shared" si="3"/>
        <v>4.8139099043367182</v>
      </c>
    </row>
    <row r="220" spans="1:2" x14ac:dyDescent="0.55000000000000004">
      <c r="A220">
        <v>83.355811522577199</v>
      </c>
      <c r="B220">
        <f t="shared" si="3"/>
        <v>4.423118331092236</v>
      </c>
    </row>
    <row r="221" spans="1:2" x14ac:dyDescent="0.55000000000000004">
      <c r="A221">
        <v>88.286227816459899</v>
      </c>
      <c r="B221">
        <f t="shared" si="3"/>
        <v>4.4805841250767537</v>
      </c>
    </row>
    <row r="222" spans="1:2" x14ac:dyDescent="0.55000000000000004">
      <c r="A222">
        <v>133.5127421805</v>
      </c>
      <c r="B222">
        <f t="shared" si="3"/>
        <v>4.8941969203304687</v>
      </c>
    </row>
    <row r="223" spans="1:2" x14ac:dyDescent="0.55000000000000004">
      <c r="A223">
        <v>113.276553416314</v>
      </c>
      <c r="B223">
        <f t="shared" si="3"/>
        <v>4.7298322041322134</v>
      </c>
    </row>
    <row r="224" spans="1:2" x14ac:dyDescent="0.55000000000000004">
      <c r="A224">
        <v>89.088303464758695</v>
      </c>
      <c r="B224">
        <f t="shared" si="3"/>
        <v>4.4896280516144129</v>
      </c>
    </row>
    <row r="225" spans="1:2" x14ac:dyDescent="0.55000000000000004">
      <c r="A225">
        <v>133.28215459065299</v>
      </c>
      <c r="B225">
        <f t="shared" si="3"/>
        <v>4.8924683441841221</v>
      </c>
    </row>
    <row r="226" spans="1:2" x14ac:dyDescent="0.55000000000000004">
      <c r="A226">
        <v>85.095698131558905</v>
      </c>
      <c r="B226">
        <f t="shared" si="3"/>
        <v>4.4437764835561078</v>
      </c>
    </row>
    <row r="227" spans="1:2" x14ac:dyDescent="0.55000000000000004">
      <c r="A227">
        <v>81.076044382979902</v>
      </c>
      <c r="B227">
        <f t="shared" si="3"/>
        <v>4.3953875337999593</v>
      </c>
    </row>
    <row r="228" spans="1:2" x14ac:dyDescent="0.55000000000000004">
      <c r="A228">
        <v>102.346050163955</v>
      </c>
      <c r="B228">
        <f t="shared" si="3"/>
        <v>4.628359719901515</v>
      </c>
    </row>
    <row r="229" spans="1:2" x14ac:dyDescent="0.55000000000000004">
      <c r="A229">
        <v>129.95047709194699</v>
      </c>
      <c r="B229">
        <f t="shared" si="3"/>
        <v>4.8671534324308716</v>
      </c>
    </row>
    <row r="230" spans="1:2" x14ac:dyDescent="0.55000000000000004">
      <c r="A230">
        <v>121.287356936175</v>
      </c>
      <c r="B230">
        <f t="shared" si="3"/>
        <v>4.798162580807694</v>
      </c>
    </row>
    <row r="231" spans="1:2" x14ac:dyDescent="0.55000000000000004">
      <c r="A231">
        <v>91.697170885887502</v>
      </c>
      <c r="B231">
        <f t="shared" si="3"/>
        <v>4.5184915269422978</v>
      </c>
    </row>
    <row r="232" spans="1:2" x14ac:dyDescent="0.55000000000000004">
      <c r="A232">
        <v>117.750377128659</v>
      </c>
      <c r="B232">
        <f t="shared" si="3"/>
        <v>4.7685669356825571</v>
      </c>
    </row>
    <row r="233" spans="1:2" x14ac:dyDescent="0.55000000000000004">
      <c r="A233">
        <v>93.750814128456497</v>
      </c>
      <c r="B233">
        <f t="shared" si="3"/>
        <v>4.5406403488496831</v>
      </c>
    </row>
    <row r="234" spans="1:2" x14ac:dyDescent="0.55000000000000004">
      <c r="A234">
        <v>113.982269944018</v>
      </c>
      <c r="B234">
        <f t="shared" si="3"/>
        <v>4.7360429094920882</v>
      </c>
    </row>
    <row r="235" spans="1:2" x14ac:dyDescent="0.55000000000000004">
      <c r="A235">
        <v>125.45415872318399</v>
      </c>
      <c r="B235">
        <f t="shared" si="3"/>
        <v>4.8319404227068414</v>
      </c>
    </row>
    <row r="236" spans="1:2" x14ac:dyDescent="0.55000000000000004">
      <c r="A236">
        <v>103.360479167262</v>
      </c>
      <c r="B236">
        <f t="shared" si="3"/>
        <v>4.6382226759297183</v>
      </c>
    </row>
    <row r="237" spans="1:2" x14ac:dyDescent="0.55000000000000004">
      <c r="A237">
        <v>138.78523349297299</v>
      </c>
      <c r="B237">
        <f t="shared" si="3"/>
        <v>4.9329276554749777</v>
      </c>
    </row>
    <row r="238" spans="1:2" x14ac:dyDescent="0.55000000000000004">
      <c r="A238">
        <v>91.769959566971906</v>
      </c>
      <c r="B238">
        <f t="shared" si="3"/>
        <v>4.5192850062399117</v>
      </c>
    </row>
    <row r="239" spans="1:2" x14ac:dyDescent="0.55000000000000004">
      <c r="A239">
        <v>103.57263960796099</v>
      </c>
      <c r="B239">
        <f t="shared" si="3"/>
        <v>4.6402731984975212</v>
      </c>
    </row>
    <row r="240" spans="1:2" x14ac:dyDescent="0.55000000000000004">
      <c r="A240">
        <v>98.182529467251598</v>
      </c>
      <c r="B240">
        <f t="shared" si="3"/>
        <v>4.5868282918675121</v>
      </c>
    </row>
    <row r="241" spans="1:2" x14ac:dyDescent="0.55000000000000004">
      <c r="A241">
        <v>166.77872333827199</v>
      </c>
      <c r="B241">
        <f t="shared" si="3"/>
        <v>5.1166679238644139</v>
      </c>
    </row>
    <row r="242" spans="1:2" x14ac:dyDescent="0.55000000000000004">
      <c r="A242">
        <v>88.678298478009907</v>
      </c>
      <c r="B242">
        <f t="shared" si="3"/>
        <v>4.4850151973516965</v>
      </c>
    </row>
    <row r="243" spans="1:2" x14ac:dyDescent="0.55000000000000004">
      <c r="A243">
        <v>66.068170388833096</v>
      </c>
      <c r="B243">
        <f t="shared" si="3"/>
        <v>4.1906870936473615</v>
      </c>
    </row>
    <row r="244" spans="1:2" x14ac:dyDescent="0.55000000000000004">
      <c r="A244">
        <v>97.834619601253706</v>
      </c>
      <c r="B244">
        <f t="shared" si="3"/>
        <v>4.5832784980562407</v>
      </c>
    </row>
    <row r="245" spans="1:2" x14ac:dyDescent="0.55000000000000004">
      <c r="A245">
        <v>150.23283719900601</v>
      </c>
      <c r="B245">
        <f t="shared" si="3"/>
        <v>5.0121863385979637</v>
      </c>
    </row>
    <row r="246" spans="1:2" x14ac:dyDescent="0.55000000000000004">
      <c r="A246">
        <v>103.368548460705</v>
      </c>
      <c r="B246">
        <f t="shared" si="3"/>
        <v>4.6383007423100393</v>
      </c>
    </row>
    <row r="247" spans="1:2" x14ac:dyDescent="0.55000000000000004">
      <c r="A247">
        <v>91.383330669021703</v>
      </c>
      <c r="B247">
        <f t="shared" si="3"/>
        <v>4.5150630840266128</v>
      </c>
    </row>
    <row r="248" spans="1:2" x14ac:dyDescent="0.55000000000000004">
      <c r="A248">
        <v>102.002126877823</v>
      </c>
      <c r="B248">
        <f t="shared" si="3"/>
        <v>4.6249936648102397</v>
      </c>
    </row>
    <row r="249" spans="1:2" x14ac:dyDescent="0.55000000000000004">
      <c r="A249">
        <v>97.406356326764296</v>
      </c>
      <c r="B249">
        <f t="shared" si="3"/>
        <v>4.5788914685475275</v>
      </c>
    </row>
    <row r="250" spans="1:2" x14ac:dyDescent="0.55000000000000004">
      <c r="A250">
        <v>115.552757463079</v>
      </c>
      <c r="B250">
        <f t="shared" si="3"/>
        <v>4.7497272002442124</v>
      </c>
    </row>
    <row r="251" spans="1:2" x14ac:dyDescent="0.55000000000000004">
      <c r="A251">
        <v>110.407148764038</v>
      </c>
      <c r="B251">
        <f t="shared" si="3"/>
        <v>4.7041748850440364</v>
      </c>
    </row>
    <row r="252" spans="1:2" x14ac:dyDescent="0.55000000000000004">
      <c r="A252">
        <v>103.12869490608399</v>
      </c>
      <c r="B252">
        <f t="shared" si="3"/>
        <v>4.6359776734053177</v>
      </c>
    </row>
    <row r="253" spans="1:2" x14ac:dyDescent="0.55000000000000004">
      <c r="A253">
        <v>101.154702266537</v>
      </c>
      <c r="B253">
        <f t="shared" si="3"/>
        <v>4.6166510505859817</v>
      </c>
    </row>
    <row r="254" spans="1:2" x14ac:dyDescent="0.55000000000000004">
      <c r="A254">
        <v>103.633824666207</v>
      </c>
      <c r="B254">
        <f t="shared" si="3"/>
        <v>4.6408637694552244</v>
      </c>
    </row>
    <row r="255" spans="1:2" x14ac:dyDescent="0.55000000000000004">
      <c r="A255">
        <v>121.75292127191599</v>
      </c>
      <c r="B255">
        <f t="shared" si="3"/>
        <v>4.8019937556946912</v>
      </c>
    </row>
    <row r="256" spans="1:2" x14ac:dyDescent="0.55000000000000004">
      <c r="A256">
        <v>72.424683814274701</v>
      </c>
      <c r="B256">
        <f t="shared" si="3"/>
        <v>4.2825471779472268</v>
      </c>
    </row>
    <row r="257" spans="1:2" x14ac:dyDescent="0.55000000000000004">
      <c r="A257">
        <v>123.972319667119</v>
      </c>
      <c r="B257">
        <f t="shared" si="3"/>
        <v>4.820058312194873</v>
      </c>
    </row>
    <row r="258" spans="1:2" x14ac:dyDescent="0.55000000000000004">
      <c r="A258">
        <v>102.821074079583</v>
      </c>
      <c r="B258">
        <f t="shared" si="3"/>
        <v>4.6329903327854307</v>
      </c>
    </row>
    <row r="259" spans="1:2" x14ac:dyDescent="0.55000000000000004">
      <c r="A259">
        <v>74.159364186601493</v>
      </c>
      <c r="B259">
        <f t="shared" si="3"/>
        <v>4.3062163476852682</v>
      </c>
    </row>
    <row r="260" spans="1:2" x14ac:dyDescent="0.55000000000000004">
      <c r="A260">
        <v>125.1828587791</v>
      </c>
      <c r="B260">
        <f t="shared" ref="B260:B323" si="4">LN(A260)</f>
        <v>4.8297755385828074</v>
      </c>
    </row>
    <row r="261" spans="1:2" x14ac:dyDescent="0.55000000000000004">
      <c r="A261">
        <v>113.364636664233</v>
      </c>
      <c r="B261">
        <f t="shared" si="4"/>
        <v>4.7306094966651608</v>
      </c>
    </row>
    <row r="262" spans="1:2" x14ac:dyDescent="0.55000000000000004">
      <c r="A262">
        <v>103.318394804923</v>
      </c>
      <c r="B262">
        <f t="shared" si="4"/>
        <v>4.6378154319563816</v>
      </c>
    </row>
    <row r="263" spans="1:2" x14ac:dyDescent="0.55000000000000004">
      <c r="A263">
        <v>83.311747858103203</v>
      </c>
      <c r="B263">
        <f t="shared" si="4"/>
        <v>4.4225895699384239</v>
      </c>
    </row>
    <row r="264" spans="1:2" x14ac:dyDescent="0.55000000000000004">
      <c r="A264">
        <v>90.051117780621198</v>
      </c>
      <c r="B264">
        <f t="shared" si="4"/>
        <v>4.5003774844335567</v>
      </c>
    </row>
    <row r="265" spans="1:2" x14ac:dyDescent="0.55000000000000004">
      <c r="A265">
        <v>95.667869242910996</v>
      </c>
      <c r="B265">
        <f t="shared" si="4"/>
        <v>4.5608824974958937</v>
      </c>
    </row>
    <row r="266" spans="1:2" x14ac:dyDescent="0.55000000000000004">
      <c r="A266">
        <v>87.713346224882898</v>
      </c>
      <c r="B266">
        <f t="shared" si="4"/>
        <v>4.4740740682432305</v>
      </c>
    </row>
    <row r="267" spans="1:2" x14ac:dyDescent="0.55000000000000004">
      <c r="A267">
        <v>93.1804032075772</v>
      </c>
      <c r="B267">
        <f t="shared" si="4"/>
        <v>4.5345374335694277</v>
      </c>
    </row>
    <row r="268" spans="1:2" x14ac:dyDescent="0.55000000000000004">
      <c r="A268">
        <v>127.817646487678</v>
      </c>
      <c r="B268">
        <f t="shared" si="4"/>
        <v>4.8506046113447336</v>
      </c>
    </row>
    <row r="269" spans="1:2" x14ac:dyDescent="0.55000000000000004">
      <c r="A269">
        <v>71.8409800895773</v>
      </c>
      <c r="B269">
        <f t="shared" si="4"/>
        <v>4.2744550665731733</v>
      </c>
    </row>
    <row r="270" spans="1:2" x14ac:dyDescent="0.55000000000000004">
      <c r="A270">
        <v>79.729176492391701</v>
      </c>
      <c r="B270">
        <f t="shared" si="4"/>
        <v>4.3786355977565812</v>
      </c>
    </row>
    <row r="271" spans="1:2" x14ac:dyDescent="0.55000000000000004">
      <c r="A271">
        <v>117.445367935926</v>
      </c>
      <c r="B271">
        <f t="shared" si="4"/>
        <v>4.7659732717229089</v>
      </c>
    </row>
    <row r="272" spans="1:2" x14ac:dyDescent="0.55000000000000004">
      <c r="A272">
        <v>71.622723608985694</v>
      </c>
      <c r="B272">
        <f t="shared" si="4"/>
        <v>4.2714123924563445</v>
      </c>
    </row>
    <row r="273" spans="1:2" x14ac:dyDescent="0.55000000000000004">
      <c r="A273">
        <v>97.757115578989897</v>
      </c>
      <c r="B273">
        <f t="shared" si="4"/>
        <v>4.5824859898631018</v>
      </c>
    </row>
    <row r="274" spans="1:2" x14ac:dyDescent="0.55000000000000004">
      <c r="A274">
        <v>138.77062904157799</v>
      </c>
      <c r="B274">
        <f t="shared" si="4"/>
        <v>4.9328224193522372</v>
      </c>
    </row>
    <row r="275" spans="1:2" x14ac:dyDescent="0.55000000000000004">
      <c r="A275">
        <v>104.31336685405201</v>
      </c>
      <c r="B275">
        <f t="shared" si="4"/>
        <v>4.6473995115521936</v>
      </c>
    </row>
    <row r="276" spans="1:2" x14ac:dyDescent="0.55000000000000004">
      <c r="A276">
        <v>85.5159265586515</v>
      </c>
      <c r="B276">
        <f t="shared" si="4"/>
        <v>4.4487026341353637</v>
      </c>
    </row>
    <row r="277" spans="1:2" x14ac:dyDescent="0.55000000000000004">
      <c r="A277">
        <v>108.06631492308099</v>
      </c>
      <c r="B277">
        <f t="shared" si="4"/>
        <v>4.6827450657522993</v>
      </c>
    </row>
    <row r="278" spans="1:2" x14ac:dyDescent="0.55000000000000004">
      <c r="A278">
        <v>79.727255973647303</v>
      </c>
      <c r="B278">
        <f t="shared" si="4"/>
        <v>4.3786115094370972</v>
      </c>
    </row>
    <row r="279" spans="1:2" x14ac:dyDescent="0.55000000000000004">
      <c r="A279">
        <v>99.272823923069197</v>
      </c>
      <c r="B279">
        <f t="shared" si="4"/>
        <v>4.5978718570900359</v>
      </c>
    </row>
    <row r="280" spans="1:2" x14ac:dyDescent="0.55000000000000004">
      <c r="A280">
        <v>96.501555976259297</v>
      </c>
      <c r="B280">
        <f t="shared" si="4"/>
        <v>4.5695591323212623</v>
      </c>
    </row>
    <row r="281" spans="1:2" x14ac:dyDescent="0.55000000000000004">
      <c r="A281">
        <v>101.00871331464</v>
      </c>
      <c r="B281">
        <f t="shared" si="4"/>
        <v>4.6152067835621589</v>
      </c>
    </row>
    <row r="282" spans="1:2" x14ac:dyDescent="0.55000000000000004">
      <c r="A282">
        <v>110.666341538873</v>
      </c>
      <c r="B282">
        <f t="shared" si="4"/>
        <v>4.7065197423423131</v>
      </c>
    </row>
    <row r="283" spans="1:2" x14ac:dyDescent="0.55000000000000004">
      <c r="A283">
        <v>92.110061904602205</v>
      </c>
      <c r="B283">
        <f t="shared" si="4"/>
        <v>4.5229841870724643</v>
      </c>
    </row>
    <row r="284" spans="1:2" x14ac:dyDescent="0.55000000000000004">
      <c r="A284">
        <v>119.89342029775401</v>
      </c>
      <c r="B284">
        <f t="shared" si="4"/>
        <v>4.7866031839451582</v>
      </c>
    </row>
    <row r="285" spans="1:2" x14ac:dyDescent="0.55000000000000004">
      <c r="A285">
        <v>93.336792637013801</v>
      </c>
      <c r="B285">
        <f t="shared" si="4"/>
        <v>4.5362143777822928</v>
      </c>
    </row>
    <row r="286" spans="1:2" x14ac:dyDescent="0.55000000000000004">
      <c r="A286">
        <v>167.22615467442199</v>
      </c>
      <c r="B286">
        <f t="shared" si="4"/>
        <v>5.1193471158956996</v>
      </c>
    </row>
    <row r="287" spans="1:2" x14ac:dyDescent="0.55000000000000004">
      <c r="A287">
        <v>127.89784531566001</v>
      </c>
      <c r="B287">
        <f t="shared" si="4"/>
        <v>4.8512318618100529</v>
      </c>
    </row>
    <row r="288" spans="1:2" x14ac:dyDescent="0.55000000000000004">
      <c r="A288">
        <v>114.21593535038799</v>
      </c>
      <c r="B288">
        <f t="shared" si="4"/>
        <v>4.738090826457376</v>
      </c>
    </row>
    <row r="289" spans="1:2" x14ac:dyDescent="0.55000000000000004">
      <c r="A289">
        <v>141.92688389095099</v>
      </c>
      <c r="B289">
        <f t="shared" si="4"/>
        <v>4.9553120228172114</v>
      </c>
    </row>
    <row r="290" spans="1:2" x14ac:dyDescent="0.55000000000000004">
      <c r="A290">
        <v>68.170065632550902</v>
      </c>
      <c r="B290">
        <f t="shared" si="4"/>
        <v>4.2220055481518584</v>
      </c>
    </row>
    <row r="291" spans="1:2" x14ac:dyDescent="0.55000000000000004">
      <c r="A291">
        <v>113.90313900891</v>
      </c>
      <c r="B291">
        <f t="shared" si="4"/>
        <v>4.7353484294141222</v>
      </c>
    </row>
    <row r="292" spans="1:2" x14ac:dyDescent="0.55000000000000004">
      <c r="A292">
        <v>93.3776999786473</v>
      </c>
      <c r="B292">
        <f t="shared" si="4"/>
        <v>4.5366525584689121</v>
      </c>
    </row>
    <row r="293" spans="1:2" x14ac:dyDescent="0.55000000000000004">
      <c r="A293">
        <v>76.296374367619904</v>
      </c>
      <c r="B293">
        <f t="shared" si="4"/>
        <v>4.3346254190436948</v>
      </c>
    </row>
    <row r="294" spans="1:2" x14ac:dyDescent="0.55000000000000004">
      <c r="A294">
        <v>101.84750703938801</v>
      </c>
      <c r="B294">
        <f t="shared" si="4"/>
        <v>4.6234766655876669</v>
      </c>
    </row>
    <row r="295" spans="1:2" x14ac:dyDescent="0.55000000000000004">
      <c r="A295">
        <v>63.638944263816299</v>
      </c>
      <c r="B295">
        <f t="shared" si="4"/>
        <v>4.1532256141399078</v>
      </c>
    </row>
    <row r="296" spans="1:2" x14ac:dyDescent="0.55000000000000004">
      <c r="A296">
        <v>89.913455827168505</v>
      </c>
      <c r="B296">
        <f t="shared" si="4"/>
        <v>4.4988476057741842</v>
      </c>
    </row>
    <row r="297" spans="1:2" x14ac:dyDescent="0.55000000000000004">
      <c r="A297">
        <v>67.150518422613402</v>
      </c>
      <c r="B297">
        <f t="shared" si="4"/>
        <v>4.2069366433059887</v>
      </c>
    </row>
    <row r="298" spans="1:2" x14ac:dyDescent="0.55000000000000004">
      <c r="A298">
        <v>128.05915258344001</v>
      </c>
      <c r="B298">
        <f t="shared" si="4"/>
        <v>4.852492286728765</v>
      </c>
    </row>
    <row r="299" spans="1:2" x14ac:dyDescent="0.55000000000000004">
      <c r="A299">
        <v>129.02149939266201</v>
      </c>
      <c r="B299">
        <f t="shared" si="4"/>
        <v>4.8599790524337312</v>
      </c>
    </row>
    <row r="300" spans="1:2" x14ac:dyDescent="0.55000000000000004">
      <c r="A300">
        <v>89.231289821304898</v>
      </c>
      <c r="B300">
        <f t="shared" si="4"/>
        <v>4.4912317608261336</v>
      </c>
    </row>
    <row r="301" spans="1:2" x14ac:dyDescent="0.55000000000000004">
      <c r="A301">
        <v>105.400347241524</v>
      </c>
      <c r="B301">
        <f t="shared" si="4"/>
        <v>4.657765930613448</v>
      </c>
    </row>
    <row r="302" spans="1:2" x14ac:dyDescent="0.55000000000000004">
      <c r="A302">
        <v>115.117772757319</v>
      </c>
      <c r="B302">
        <f t="shared" si="4"/>
        <v>4.7459557152526122</v>
      </c>
    </row>
    <row r="303" spans="1:2" x14ac:dyDescent="0.55000000000000004">
      <c r="A303">
        <v>99.814936620917905</v>
      </c>
      <c r="B303">
        <f t="shared" si="4"/>
        <v>4.6033178376589081</v>
      </c>
    </row>
    <row r="304" spans="1:2" x14ac:dyDescent="0.55000000000000004">
      <c r="A304">
        <v>88.213921581598896</v>
      </c>
      <c r="B304">
        <f t="shared" si="4"/>
        <v>4.4797647916183676</v>
      </c>
    </row>
    <row r="305" spans="1:2" x14ac:dyDescent="0.55000000000000004">
      <c r="A305">
        <v>105.991979035082</v>
      </c>
      <c r="B305">
        <f t="shared" si="4"/>
        <v>4.6633634217686293</v>
      </c>
    </row>
    <row r="306" spans="1:2" x14ac:dyDescent="0.55000000000000004">
      <c r="A306">
        <v>86.471490816602795</v>
      </c>
      <c r="B306">
        <f t="shared" si="4"/>
        <v>4.4598147736772242</v>
      </c>
    </row>
    <row r="307" spans="1:2" x14ac:dyDescent="0.55000000000000004">
      <c r="A307">
        <v>97.509459748197898</v>
      </c>
      <c r="B307">
        <f t="shared" si="4"/>
        <v>4.5799493963558087</v>
      </c>
    </row>
    <row r="308" spans="1:2" x14ac:dyDescent="0.55000000000000004">
      <c r="A308">
        <v>138.160639193051</v>
      </c>
      <c r="B308">
        <f t="shared" si="4"/>
        <v>4.9284170602974013</v>
      </c>
    </row>
    <row r="309" spans="1:2" x14ac:dyDescent="0.55000000000000004">
      <c r="A309">
        <v>137.36368066680899</v>
      </c>
      <c r="B309">
        <f t="shared" si="4"/>
        <v>4.9226320119990685</v>
      </c>
    </row>
    <row r="310" spans="1:2" x14ac:dyDescent="0.55000000000000004">
      <c r="A310">
        <v>114.38222224399701</v>
      </c>
      <c r="B310">
        <f t="shared" si="4"/>
        <v>4.739545666904811</v>
      </c>
    </row>
    <row r="311" spans="1:2" x14ac:dyDescent="0.55000000000000004">
      <c r="A311">
        <v>112.400863425122</v>
      </c>
      <c r="B311">
        <f t="shared" si="4"/>
        <v>4.7220716191482541</v>
      </c>
    </row>
    <row r="312" spans="1:2" x14ac:dyDescent="0.55000000000000004">
      <c r="A312">
        <v>100.402271236564</v>
      </c>
      <c r="B312">
        <f t="shared" si="4"/>
        <v>4.6091848288798856</v>
      </c>
    </row>
    <row r="313" spans="1:2" x14ac:dyDescent="0.55000000000000004">
      <c r="A313">
        <v>140.87777130076199</v>
      </c>
      <c r="B313">
        <f t="shared" si="4"/>
        <v>4.9478926442215467</v>
      </c>
    </row>
    <row r="314" spans="1:2" x14ac:dyDescent="0.55000000000000004">
      <c r="A314">
        <v>105.352589443127</v>
      </c>
      <c r="B314">
        <f t="shared" si="4"/>
        <v>4.6573127193798038</v>
      </c>
    </row>
    <row r="315" spans="1:2" x14ac:dyDescent="0.55000000000000004">
      <c r="A315">
        <v>70.377761524680395</v>
      </c>
      <c r="B315">
        <f t="shared" si="4"/>
        <v>4.2538773258275349</v>
      </c>
    </row>
    <row r="316" spans="1:2" x14ac:dyDescent="0.55000000000000004">
      <c r="A316">
        <v>105.075309268795</v>
      </c>
      <c r="B316">
        <f t="shared" si="4"/>
        <v>4.6546773242015762</v>
      </c>
    </row>
    <row r="317" spans="1:2" x14ac:dyDescent="0.55000000000000004">
      <c r="A317">
        <v>101.693697205885</v>
      </c>
      <c r="B317">
        <f t="shared" si="4"/>
        <v>4.6219653267572776</v>
      </c>
    </row>
    <row r="318" spans="1:2" x14ac:dyDescent="0.55000000000000004">
      <c r="A318">
        <v>75.854041479172807</v>
      </c>
      <c r="B318">
        <f t="shared" si="4"/>
        <v>4.3288109868954843</v>
      </c>
    </row>
    <row r="319" spans="1:2" x14ac:dyDescent="0.55000000000000004">
      <c r="A319">
        <v>107.821904228325</v>
      </c>
      <c r="B319">
        <f t="shared" si="4"/>
        <v>4.6804808310466139</v>
      </c>
    </row>
    <row r="320" spans="1:2" x14ac:dyDescent="0.55000000000000004">
      <c r="A320">
        <v>116.262099867682</v>
      </c>
      <c r="B320">
        <f t="shared" si="4"/>
        <v>4.7558471239342959</v>
      </c>
    </row>
    <row r="321" spans="1:2" x14ac:dyDescent="0.55000000000000004">
      <c r="A321">
        <v>91.480038197453695</v>
      </c>
      <c r="B321">
        <f t="shared" si="4"/>
        <v>4.5161207867042714</v>
      </c>
    </row>
    <row r="322" spans="1:2" x14ac:dyDescent="0.55000000000000004">
      <c r="A322">
        <v>165.15042630278401</v>
      </c>
      <c r="B322">
        <f t="shared" si="4"/>
        <v>5.1068567331400612</v>
      </c>
    </row>
    <row r="323" spans="1:2" x14ac:dyDescent="0.55000000000000004">
      <c r="A323">
        <v>90.118463630100905</v>
      </c>
      <c r="B323">
        <f t="shared" si="4"/>
        <v>4.5011250673727954</v>
      </c>
    </row>
    <row r="324" spans="1:2" x14ac:dyDescent="0.55000000000000004">
      <c r="A324">
        <v>95.846182263673001</v>
      </c>
      <c r="B324">
        <f t="shared" ref="B324:B387" si="5">LN(A324)</f>
        <v>4.5627446383767882</v>
      </c>
    </row>
    <row r="325" spans="1:2" x14ac:dyDescent="0.55000000000000004">
      <c r="A325">
        <v>99.671821982919894</v>
      </c>
      <c r="B325">
        <f t="shared" si="5"/>
        <v>4.6018830089659915</v>
      </c>
    </row>
    <row r="326" spans="1:2" x14ac:dyDescent="0.55000000000000004">
      <c r="A326">
        <v>133.62424199188999</v>
      </c>
      <c r="B326">
        <f t="shared" si="5"/>
        <v>4.8950316966772203</v>
      </c>
    </row>
    <row r="327" spans="1:2" x14ac:dyDescent="0.55000000000000004">
      <c r="A327">
        <v>90.564957290706005</v>
      </c>
      <c r="B327">
        <f t="shared" si="5"/>
        <v>4.5060673533575777</v>
      </c>
    </row>
    <row r="328" spans="1:2" x14ac:dyDescent="0.55000000000000004">
      <c r="A328">
        <v>95.347269756464101</v>
      </c>
      <c r="B328">
        <f t="shared" si="5"/>
        <v>4.5575256977241896</v>
      </c>
    </row>
    <row r="329" spans="1:2" x14ac:dyDescent="0.55000000000000004">
      <c r="A329">
        <v>106.21802202822001</v>
      </c>
      <c r="B329">
        <f t="shared" si="5"/>
        <v>4.6654937933580589</v>
      </c>
    </row>
    <row r="330" spans="1:2" x14ac:dyDescent="0.55000000000000004">
      <c r="A330">
        <v>120.554737247316</v>
      </c>
      <c r="B330">
        <f t="shared" si="5"/>
        <v>4.7921039008050208</v>
      </c>
    </row>
    <row r="331" spans="1:2" x14ac:dyDescent="0.55000000000000004">
      <c r="A331">
        <v>64.648735590190398</v>
      </c>
      <c r="B331">
        <f t="shared" si="5"/>
        <v>4.1689685472569344</v>
      </c>
    </row>
    <row r="332" spans="1:2" x14ac:dyDescent="0.55000000000000004">
      <c r="A332">
        <v>97.532460100431194</v>
      </c>
      <c r="B332">
        <f t="shared" si="5"/>
        <v>4.5801852467038549</v>
      </c>
    </row>
    <row r="333" spans="1:2" x14ac:dyDescent="0.55000000000000004">
      <c r="A333">
        <v>138.15378743742201</v>
      </c>
      <c r="B333">
        <f t="shared" si="5"/>
        <v>4.9283674663929933</v>
      </c>
    </row>
    <row r="334" spans="1:2" x14ac:dyDescent="0.55000000000000004">
      <c r="A334">
        <v>123.714659152929</v>
      </c>
      <c r="B334">
        <f t="shared" si="5"/>
        <v>4.8179777780597286</v>
      </c>
    </row>
    <row r="335" spans="1:2" x14ac:dyDescent="0.55000000000000004">
      <c r="A335">
        <v>130.105751002635</v>
      </c>
      <c r="B335">
        <f t="shared" si="5"/>
        <v>4.8683475890198329</v>
      </c>
    </row>
    <row r="336" spans="1:2" x14ac:dyDescent="0.55000000000000004">
      <c r="A336">
        <v>86.679240328472204</v>
      </c>
      <c r="B336">
        <f t="shared" si="5"/>
        <v>4.4622144125373699</v>
      </c>
    </row>
    <row r="337" spans="1:2" x14ac:dyDescent="0.55000000000000004">
      <c r="A337">
        <v>108.630457212632</v>
      </c>
      <c r="B337">
        <f t="shared" si="5"/>
        <v>4.6879518213351909</v>
      </c>
    </row>
    <row r="338" spans="1:2" x14ac:dyDescent="0.55000000000000004">
      <c r="A338">
        <v>85.681092000326601</v>
      </c>
      <c r="B338">
        <f t="shared" si="5"/>
        <v>4.4506321711601267</v>
      </c>
    </row>
    <row r="339" spans="1:2" x14ac:dyDescent="0.55000000000000004">
      <c r="A339">
        <v>72.179684461943097</v>
      </c>
      <c r="B339">
        <f t="shared" si="5"/>
        <v>4.2791586276609355</v>
      </c>
    </row>
    <row r="340" spans="1:2" x14ac:dyDescent="0.55000000000000004">
      <c r="A340">
        <v>80.115029630356304</v>
      </c>
      <c r="B340">
        <f t="shared" si="5"/>
        <v>4.3834634723075725</v>
      </c>
    </row>
    <row r="341" spans="1:2" x14ac:dyDescent="0.55000000000000004">
      <c r="A341">
        <v>75.851336745633802</v>
      </c>
      <c r="B341">
        <f t="shared" si="5"/>
        <v>4.3287753291808935</v>
      </c>
    </row>
    <row r="342" spans="1:2" x14ac:dyDescent="0.55000000000000004">
      <c r="A342">
        <v>98.631663824486793</v>
      </c>
      <c r="B342">
        <f t="shared" si="5"/>
        <v>4.5913923441786482</v>
      </c>
    </row>
    <row r="343" spans="1:2" x14ac:dyDescent="0.55000000000000004">
      <c r="A343">
        <v>101.66252876944399</v>
      </c>
      <c r="B343">
        <f t="shared" si="5"/>
        <v>4.6216587864825893</v>
      </c>
    </row>
    <row r="344" spans="1:2" x14ac:dyDescent="0.55000000000000004">
      <c r="A344">
        <v>123.82445837672699</v>
      </c>
      <c r="B344">
        <f t="shared" si="5"/>
        <v>4.8188649043619849</v>
      </c>
    </row>
    <row r="345" spans="1:2" x14ac:dyDescent="0.55000000000000004">
      <c r="A345">
        <v>160.61340842089999</v>
      </c>
      <c r="B345">
        <f t="shared" si="5"/>
        <v>5.0790002875724349</v>
      </c>
    </row>
    <row r="346" spans="1:2" x14ac:dyDescent="0.55000000000000004">
      <c r="A346">
        <v>98.444018886094597</v>
      </c>
      <c r="B346">
        <f t="shared" si="5"/>
        <v>4.5894880504320366</v>
      </c>
    </row>
    <row r="347" spans="1:2" x14ac:dyDescent="0.55000000000000004">
      <c r="A347">
        <v>125.150342178736</v>
      </c>
      <c r="B347">
        <f t="shared" si="5"/>
        <v>4.8295157520229548</v>
      </c>
    </row>
    <row r="348" spans="1:2" x14ac:dyDescent="0.55000000000000004">
      <c r="A348">
        <v>93.580141465638505</v>
      </c>
      <c r="B348">
        <f t="shared" si="5"/>
        <v>4.5388181971449688</v>
      </c>
    </row>
    <row r="349" spans="1:2" x14ac:dyDescent="0.55000000000000004">
      <c r="A349">
        <v>107.350690732492</v>
      </c>
      <c r="B349">
        <f t="shared" si="5"/>
        <v>4.6761009587008475</v>
      </c>
    </row>
    <row r="350" spans="1:2" x14ac:dyDescent="0.55000000000000004">
      <c r="A350">
        <v>134.312748666696</v>
      </c>
      <c r="B350">
        <f t="shared" si="5"/>
        <v>4.9001710258049878</v>
      </c>
    </row>
    <row r="351" spans="1:2" x14ac:dyDescent="0.55000000000000004">
      <c r="A351">
        <v>92.826330729807793</v>
      </c>
      <c r="B351">
        <f t="shared" si="5"/>
        <v>4.5307303358592037</v>
      </c>
    </row>
    <row r="352" spans="1:2" x14ac:dyDescent="0.55000000000000004">
      <c r="A352">
        <v>99.891710677896199</v>
      </c>
      <c r="B352">
        <f t="shared" si="5"/>
        <v>4.6040867060145576</v>
      </c>
    </row>
    <row r="353" spans="1:2" x14ac:dyDescent="0.55000000000000004">
      <c r="A353">
        <v>70.811289642569193</v>
      </c>
      <c r="B353">
        <f t="shared" si="5"/>
        <v>4.2600184462159403</v>
      </c>
    </row>
    <row r="354" spans="1:2" x14ac:dyDescent="0.55000000000000004">
      <c r="A354">
        <v>97.402913458665097</v>
      </c>
      <c r="B354">
        <f t="shared" si="5"/>
        <v>4.5788561225077489</v>
      </c>
    </row>
    <row r="355" spans="1:2" x14ac:dyDescent="0.55000000000000004">
      <c r="A355">
        <v>103.467370872092</v>
      </c>
      <c r="B355">
        <f t="shared" si="5"/>
        <v>4.6392563057269296</v>
      </c>
    </row>
    <row r="356" spans="1:2" x14ac:dyDescent="0.55000000000000004">
      <c r="A356">
        <v>89.778910561770999</v>
      </c>
      <c r="B356">
        <f t="shared" si="5"/>
        <v>4.4973500987487629</v>
      </c>
    </row>
    <row r="357" spans="1:2" x14ac:dyDescent="0.55000000000000004">
      <c r="A357">
        <v>107.301860877614</v>
      </c>
      <c r="B357">
        <f t="shared" si="5"/>
        <v>4.6756459922412921</v>
      </c>
    </row>
    <row r="358" spans="1:2" x14ac:dyDescent="0.55000000000000004">
      <c r="A358">
        <v>89.900980573313902</v>
      </c>
      <c r="B358">
        <f t="shared" si="5"/>
        <v>4.4987088487964426</v>
      </c>
    </row>
    <row r="359" spans="1:2" x14ac:dyDescent="0.55000000000000004">
      <c r="A359">
        <v>100.73924026108401</v>
      </c>
      <c r="B359">
        <f t="shared" si="5"/>
        <v>4.6125353987076094</v>
      </c>
    </row>
    <row r="360" spans="1:2" x14ac:dyDescent="0.55000000000000004">
      <c r="A360">
        <v>73.176485008486296</v>
      </c>
      <c r="B360">
        <f t="shared" si="5"/>
        <v>4.2928741263041967</v>
      </c>
    </row>
    <row r="361" spans="1:2" x14ac:dyDescent="0.55000000000000004">
      <c r="A361">
        <v>114.857196662321</v>
      </c>
      <c r="B361">
        <f t="shared" si="5"/>
        <v>4.7436895885765873</v>
      </c>
    </row>
    <row r="362" spans="1:2" x14ac:dyDescent="0.55000000000000004">
      <c r="A362">
        <v>106.166484588481</v>
      </c>
      <c r="B362">
        <f t="shared" si="5"/>
        <v>4.6650084713204807</v>
      </c>
    </row>
    <row r="363" spans="1:2" x14ac:dyDescent="0.55000000000000004">
      <c r="A363">
        <v>160.45123382416</v>
      </c>
      <c r="B363">
        <f t="shared" si="5"/>
        <v>5.0779900572998118</v>
      </c>
    </row>
    <row r="364" spans="1:2" x14ac:dyDescent="0.55000000000000004">
      <c r="A364">
        <v>126.585387347414</v>
      </c>
      <c r="B364">
        <f t="shared" si="5"/>
        <v>4.8409170792521392</v>
      </c>
    </row>
    <row r="365" spans="1:2" x14ac:dyDescent="0.55000000000000004">
      <c r="A365">
        <v>101.086463671007</v>
      </c>
      <c r="B365">
        <f t="shared" si="5"/>
        <v>4.6159762265678026</v>
      </c>
    </row>
    <row r="366" spans="1:2" x14ac:dyDescent="0.55000000000000004">
      <c r="A366">
        <v>75.407124847130802</v>
      </c>
      <c r="B366">
        <f t="shared" si="5"/>
        <v>4.3229017645434116</v>
      </c>
    </row>
    <row r="367" spans="1:2" x14ac:dyDescent="0.55000000000000004">
      <c r="A367">
        <v>132.049257308916</v>
      </c>
      <c r="B367">
        <f t="shared" si="5"/>
        <v>4.883175014410142</v>
      </c>
    </row>
    <row r="368" spans="1:2" x14ac:dyDescent="0.55000000000000004">
      <c r="A368">
        <v>97.417395813807303</v>
      </c>
      <c r="B368">
        <f t="shared" si="5"/>
        <v>4.5790047964855587</v>
      </c>
    </row>
    <row r="369" spans="1:2" x14ac:dyDescent="0.55000000000000004">
      <c r="A369">
        <v>83.694581394507907</v>
      </c>
      <c r="B369">
        <f t="shared" si="5"/>
        <v>4.4271742369829372</v>
      </c>
    </row>
    <row r="370" spans="1:2" x14ac:dyDescent="0.55000000000000004">
      <c r="A370">
        <v>116.060000379005</v>
      </c>
      <c r="B370">
        <f t="shared" si="5"/>
        <v>4.754107302028058</v>
      </c>
    </row>
    <row r="371" spans="1:2" x14ac:dyDescent="0.55000000000000004">
      <c r="A371">
        <v>125.06059347443799</v>
      </c>
      <c r="B371">
        <f t="shared" si="5"/>
        <v>4.8287983676455477</v>
      </c>
    </row>
    <row r="372" spans="1:2" x14ac:dyDescent="0.55000000000000004">
      <c r="A372">
        <v>86.270772382229694</v>
      </c>
      <c r="B372">
        <f t="shared" si="5"/>
        <v>4.4574908661286186</v>
      </c>
    </row>
    <row r="373" spans="1:2" x14ac:dyDescent="0.55000000000000004">
      <c r="A373">
        <v>115.31494957462201</v>
      </c>
      <c r="B373">
        <f t="shared" si="5"/>
        <v>4.7476670769327702</v>
      </c>
    </row>
    <row r="374" spans="1:2" x14ac:dyDescent="0.55000000000000004">
      <c r="A374">
        <v>96.207316901926802</v>
      </c>
      <c r="B374">
        <f t="shared" si="5"/>
        <v>4.5665054140508898</v>
      </c>
    </row>
    <row r="375" spans="1:2" x14ac:dyDescent="0.55000000000000004">
      <c r="A375">
        <v>118.863305732809</v>
      </c>
      <c r="B375">
        <f t="shared" si="5"/>
        <v>4.7779741415390555</v>
      </c>
    </row>
    <row r="376" spans="1:2" x14ac:dyDescent="0.55000000000000004">
      <c r="A376">
        <v>135.27860258384999</v>
      </c>
      <c r="B376">
        <f t="shared" si="5"/>
        <v>4.9073363747310141</v>
      </c>
    </row>
    <row r="377" spans="1:2" x14ac:dyDescent="0.55000000000000004">
      <c r="A377">
        <v>149.07727157512701</v>
      </c>
      <c r="B377">
        <f t="shared" si="5"/>
        <v>5.0044647726936926</v>
      </c>
    </row>
    <row r="378" spans="1:2" x14ac:dyDescent="0.55000000000000004">
      <c r="A378">
        <v>94.360449027727498</v>
      </c>
      <c r="B378">
        <f t="shared" si="5"/>
        <v>4.5471220131941914</v>
      </c>
    </row>
    <row r="379" spans="1:2" x14ac:dyDescent="0.55000000000000004">
      <c r="A379">
        <v>120.22232982108601</v>
      </c>
      <c r="B379">
        <f t="shared" si="5"/>
        <v>4.7893427770695984</v>
      </c>
    </row>
    <row r="380" spans="1:2" x14ac:dyDescent="0.55000000000000004">
      <c r="A380">
        <v>67.175343471863897</v>
      </c>
      <c r="B380">
        <f t="shared" si="5"/>
        <v>4.2073062675791251</v>
      </c>
    </row>
    <row r="381" spans="1:2" x14ac:dyDescent="0.55000000000000004">
      <c r="A381">
        <v>93.5723923586702</v>
      </c>
      <c r="B381">
        <f t="shared" si="5"/>
        <v>4.538735386543217</v>
      </c>
    </row>
    <row r="382" spans="1:2" x14ac:dyDescent="0.55000000000000004">
      <c r="A382">
        <v>119.612483391868</v>
      </c>
      <c r="B382">
        <f t="shared" si="5"/>
        <v>4.7842572122559037</v>
      </c>
    </row>
    <row r="383" spans="1:2" x14ac:dyDescent="0.55000000000000004">
      <c r="A383">
        <v>73.450078667229604</v>
      </c>
      <c r="B383">
        <f t="shared" si="5"/>
        <v>4.2966059736503492</v>
      </c>
    </row>
    <row r="384" spans="1:2" x14ac:dyDescent="0.55000000000000004">
      <c r="A384">
        <v>114.288670427024</v>
      </c>
      <c r="B384">
        <f t="shared" si="5"/>
        <v>4.7387274445145486</v>
      </c>
    </row>
    <row r="385" spans="1:2" x14ac:dyDescent="0.55000000000000004">
      <c r="A385">
        <v>94.012472936833802</v>
      </c>
      <c r="B385">
        <f t="shared" si="5"/>
        <v>4.5434274642847372</v>
      </c>
    </row>
    <row r="386" spans="1:2" x14ac:dyDescent="0.55000000000000004">
      <c r="A386">
        <v>77.924806521040097</v>
      </c>
      <c r="B386">
        <f t="shared" si="5"/>
        <v>4.3557443427634412</v>
      </c>
    </row>
    <row r="387" spans="1:2" x14ac:dyDescent="0.55000000000000004">
      <c r="A387">
        <v>110.29125877585901</v>
      </c>
      <c r="B387">
        <f t="shared" si="5"/>
        <v>4.7031246735801435</v>
      </c>
    </row>
    <row r="388" spans="1:2" x14ac:dyDescent="0.55000000000000004">
      <c r="A388">
        <v>85.676944372647199</v>
      </c>
      <c r="B388">
        <f t="shared" ref="B388:B451" si="6">LN(A388)</f>
        <v>4.4505837622524611</v>
      </c>
    </row>
    <row r="389" spans="1:2" x14ac:dyDescent="0.55000000000000004">
      <c r="A389">
        <v>103.83989038001999</v>
      </c>
      <c r="B389">
        <f t="shared" si="6"/>
        <v>4.6428501972928578</v>
      </c>
    </row>
    <row r="390" spans="1:2" x14ac:dyDescent="0.55000000000000004">
      <c r="A390">
        <v>134.88195571498099</v>
      </c>
      <c r="B390">
        <f t="shared" si="6"/>
        <v>4.9043999938146552</v>
      </c>
    </row>
    <row r="391" spans="1:2" x14ac:dyDescent="0.55000000000000004">
      <c r="A391">
        <v>111.666469120043</v>
      </c>
      <c r="B391">
        <f t="shared" si="6"/>
        <v>4.7155164740811504</v>
      </c>
    </row>
    <row r="392" spans="1:2" x14ac:dyDescent="0.55000000000000004">
      <c r="A392">
        <v>96.413010466430805</v>
      </c>
      <c r="B392">
        <f t="shared" si="6"/>
        <v>4.5686411558544853</v>
      </c>
    </row>
    <row r="393" spans="1:2" x14ac:dyDescent="0.55000000000000004">
      <c r="A393">
        <v>114.588444608551</v>
      </c>
      <c r="B393">
        <f t="shared" si="6"/>
        <v>4.7413469668105952</v>
      </c>
    </row>
    <row r="394" spans="1:2" x14ac:dyDescent="0.55000000000000004">
      <c r="A394">
        <v>145.020771940092</v>
      </c>
      <c r="B394">
        <f t="shared" si="6"/>
        <v>4.9768769869198461</v>
      </c>
    </row>
    <row r="395" spans="1:2" x14ac:dyDescent="0.55000000000000004">
      <c r="A395">
        <v>88.6390997582007</v>
      </c>
      <c r="B395">
        <f t="shared" si="6"/>
        <v>4.4845730667899169</v>
      </c>
    </row>
    <row r="396" spans="1:2" x14ac:dyDescent="0.55000000000000004">
      <c r="A396">
        <v>99.1413483675517</v>
      </c>
      <c r="B396">
        <f t="shared" si="6"/>
        <v>4.5965465931409701</v>
      </c>
    </row>
    <row r="397" spans="1:2" x14ac:dyDescent="0.55000000000000004">
      <c r="A397">
        <v>93.849971814558202</v>
      </c>
      <c r="B397">
        <f t="shared" si="6"/>
        <v>4.5416974627081066</v>
      </c>
    </row>
    <row r="398" spans="1:2" x14ac:dyDescent="0.55000000000000004">
      <c r="A398">
        <v>84.148278845564903</v>
      </c>
      <c r="B398">
        <f t="shared" si="6"/>
        <v>4.4325804670178357</v>
      </c>
    </row>
    <row r="399" spans="1:2" x14ac:dyDescent="0.55000000000000004">
      <c r="A399">
        <v>100.529186155857</v>
      </c>
      <c r="B399">
        <f t="shared" si="6"/>
        <v>4.6104480948494659</v>
      </c>
    </row>
    <row r="400" spans="1:2" x14ac:dyDescent="0.55000000000000004">
      <c r="A400">
        <v>96.582966045497301</v>
      </c>
      <c r="B400">
        <f t="shared" si="6"/>
        <v>4.5704023907369002</v>
      </c>
    </row>
    <row r="401" spans="1:2" x14ac:dyDescent="0.55000000000000004">
      <c r="A401">
        <v>111.79693288067701</v>
      </c>
      <c r="B401">
        <f t="shared" si="6"/>
        <v>4.7166841263614687</v>
      </c>
    </row>
    <row r="402" spans="1:2" x14ac:dyDescent="0.55000000000000004">
      <c r="A402">
        <v>74.161355446062103</v>
      </c>
      <c r="B402">
        <f t="shared" si="6"/>
        <v>4.3062431984107183</v>
      </c>
    </row>
    <row r="403" spans="1:2" x14ac:dyDescent="0.55000000000000004">
      <c r="A403">
        <v>126.424789172765</v>
      </c>
      <c r="B403">
        <f t="shared" si="6"/>
        <v>4.8396475793574982</v>
      </c>
    </row>
    <row r="404" spans="1:2" x14ac:dyDescent="0.55000000000000004">
      <c r="A404">
        <v>127.348548195395</v>
      </c>
      <c r="B404">
        <f t="shared" si="6"/>
        <v>4.8469278012458004</v>
      </c>
    </row>
    <row r="405" spans="1:2" x14ac:dyDescent="0.55000000000000004">
      <c r="A405">
        <v>82.209801279927504</v>
      </c>
      <c r="B405">
        <f t="shared" si="6"/>
        <v>4.4092745319360569</v>
      </c>
    </row>
    <row r="406" spans="1:2" x14ac:dyDescent="0.55000000000000004">
      <c r="A406">
        <v>180.751941517776</v>
      </c>
      <c r="B406">
        <f t="shared" si="6"/>
        <v>5.1971256024349941</v>
      </c>
    </row>
    <row r="407" spans="1:2" x14ac:dyDescent="0.55000000000000004">
      <c r="A407">
        <v>139.98604057963101</v>
      </c>
      <c r="B407">
        <f t="shared" si="6"/>
        <v>4.9415427074924247</v>
      </c>
    </row>
    <row r="408" spans="1:2" x14ac:dyDescent="0.55000000000000004">
      <c r="A408">
        <v>85.568238558493704</v>
      </c>
      <c r="B408">
        <f t="shared" si="6"/>
        <v>4.4493141694161036</v>
      </c>
    </row>
    <row r="409" spans="1:2" x14ac:dyDescent="0.55000000000000004">
      <c r="A409">
        <v>127.47526256568899</v>
      </c>
      <c r="B409">
        <f t="shared" si="6"/>
        <v>4.8479223266817062</v>
      </c>
    </row>
    <row r="410" spans="1:2" x14ac:dyDescent="0.55000000000000004">
      <c r="A410">
        <v>86.731308039433898</v>
      </c>
      <c r="B410">
        <f t="shared" si="6"/>
        <v>4.4628149263240626</v>
      </c>
    </row>
    <row r="411" spans="1:2" x14ac:dyDescent="0.55000000000000004">
      <c r="A411">
        <v>125.332219420527</v>
      </c>
      <c r="B411">
        <f t="shared" si="6"/>
        <v>4.8309679670801113</v>
      </c>
    </row>
    <row r="412" spans="1:2" x14ac:dyDescent="0.55000000000000004">
      <c r="A412">
        <v>108.471132331737</v>
      </c>
      <c r="B412">
        <f t="shared" si="6"/>
        <v>4.6864840761212401</v>
      </c>
    </row>
    <row r="413" spans="1:2" x14ac:dyDescent="0.55000000000000004">
      <c r="A413">
        <v>81.522436384969296</v>
      </c>
      <c r="B413">
        <f t="shared" si="6"/>
        <v>4.4008782754277416</v>
      </c>
    </row>
    <row r="414" spans="1:2" x14ac:dyDescent="0.55000000000000004">
      <c r="A414">
        <v>96.396379165450895</v>
      </c>
      <c r="B414">
        <f t="shared" si="6"/>
        <v>4.5684686403867172</v>
      </c>
    </row>
    <row r="415" spans="1:2" x14ac:dyDescent="0.55000000000000004">
      <c r="A415">
        <v>89.555814545498507</v>
      </c>
      <c r="B415">
        <f t="shared" si="6"/>
        <v>4.4948620571134814</v>
      </c>
    </row>
    <row r="416" spans="1:2" x14ac:dyDescent="0.55000000000000004">
      <c r="A416">
        <v>69.371158116984503</v>
      </c>
      <c r="B416">
        <f t="shared" si="6"/>
        <v>4.2394711920392361</v>
      </c>
    </row>
    <row r="417" spans="1:2" x14ac:dyDescent="0.55000000000000004">
      <c r="A417">
        <v>87.402923587222105</v>
      </c>
      <c r="B417">
        <f t="shared" si="6"/>
        <v>4.470528732756744</v>
      </c>
    </row>
    <row r="418" spans="1:2" x14ac:dyDescent="0.55000000000000004">
      <c r="A418">
        <v>104.02411753954701</v>
      </c>
      <c r="B418">
        <f t="shared" si="6"/>
        <v>4.6446227716755804</v>
      </c>
    </row>
    <row r="419" spans="1:2" x14ac:dyDescent="0.55000000000000004">
      <c r="A419">
        <v>111.051053641782</v>
      </c>
      <c r="B419">
        <f t="shared" si="6"/>
        <v>4.7099900382898605</v>
      </c>
    </row>
    <row r="420" spans="1:2" x14ac:dyDescent="0.55000000000000004">
      <c r="A420">
        <v>168.51549123920699</v>
      </c>
      <c r="B420">
        <f t="shared" si="6"/>
        <v>5.1270276817042753</v>
      </c>
    </row>
    <row r="421" spans="1:2" x14ac:dyDescent="0.55000000000000004">
      <c r="A421">
        <v>85.854878062604996</v>
      </c>
      <c r="B421">
        <f t="shared" si="6"/>
        <v>4.4526584064934278</v>
      </c>
    </row>
    <row r="422" spans="1:2" x14ac:dyDescent="0.55000000000000004">
      <c r="A422">
        <v>121.967911250969</v>
      </c>
      <c r="B422">
        <f t="shared" si="6"/>
        <v>4.8037579876037224</v>
      </c>
    </row>
    <row r="423" spans="1:2" x14ac:dyDescent="0.55000000000000004">
      <c r="A423">
        <v>87.459539729377994</v>
      </c>
      <c r="B423">
        <f t="shared" si="6"/>
        <v>4.4711762833294681</v>
      </c>
    </row>
    <row r="424" spans="1:2" x14ac:dyDescent="0.55000000000000004">
      <c r="A424">
        <v>149.67351584511101</v>
      </c>
      <c r="B424">
        <f t="shared" si="6"/>
        <v>5.0084563609119845</v>
      </c>
    </row>
    <row r="425" spans="1:2" x14ac:dyDescent="0.55000000000000004">
      <c r="A425">
        <v>90.762685879572103</v>
      </c>
      <c r="B425">
        <f t="shared" si="6"/>
        <v>4.5082482526819252</v>
      </c>
    </row>
    <row r="426" spans="1:2" x14ac:dyDescent="0.55000000000000004">
      <c r="A426">
        <v>99.0204850612417</v>
      </c>
      <c r="B426">
        <f t="shared" si="6"/>
        <v>4.5953267485401605</v>
      </c>
    </row>
    <row r="427" spans="1:2" x14ac:dyDescent="0.55000000000000004">
      <c r="A427">
        <v>160.67738943153199</v>
      </c>
      <c r="B427">
        <f t="shared" si="6"/>
        <v>5.0793985623559355</v>
      </c>
    </row>
    <row r="428" spans="1:2" x14ac:dyDescent="0.55000000000000004">
      <c r="A428">
        <v>105.162135723674</v>
      </c>
      <c r="B428">
        <f t="shared" si="6"/>
        <v>4.6555033089334454</v>
      </c>
    </row>
    <row r="429" spans="1:2" x14ac:dyDescent="0.55000000000000004">
      <c r="A429">
        <v>87.632915107238304</v>
      </c>
      <c r="B429">
        <f t="shared" si="6"/>
        <v>4.4731566706018491</v>
      </c>
    </row>
    <row r="430" spans="1:2" x14ac:dyDescent="0.55000000000000004">
      <c r="A430">
        <v>132.42677689767501</v>
      </c>
      <c r="B430">
        <f t="shared" si="6"/>
        <v>4.8860298654842342</v>
      </c>
    </row>
    <row r="431" spans="1:2" x14ac:dyDescent="0.55000000000000004">
      <c r="A431">
        <v>141.26005753723001</v>
      </c>
      <c r="B431">
        <f t="shared" si="6"/>
        <v>4.9506025712950779</v>
      </c>
    </row>
    <row r="432" spans="1:2" x14ac:dyDescent="0.55000000000000004">
      <c r="A432">
        <v>107.76701582733899</v>
      </c>
      <c r="B432">
        <f t="shared" si="6"/>
        <v>4.6799716360271502</v>
      </c>
    </row>
    <row r="433" spans="1:2" x14ac:dyDescent="0.55000000000000004">
      <c r="A433">
        <v>92.8041513887419</v>
      </c>
      <c r="B433">
        <f t="shared" si="6"/>
        <v>4.5304913735840611</v>
      </c>
    </row>
    <row r="434" spans="1:2" x14ac:dyDescent="0.55000000000000004">
      <c r="A434">
        <v>109.810568138204</v>
      </c>
      <c r="B434">
        <f t="shared" si="6"/>
        <v>4.6987567734256155</v>
      </c>
    </row>
    <row r="435" spans="1:2" x14ac:dyDescent="0.55000000000000004">
      <c r="A435">
        <v>80.935245420865499</v>
      </c>
      <c r="B435">
        <f t="shared" si="6"/>
        <v>4.3936493957018987</v>
      </c>
    </row>
    <row r="436" spans="1:2" x14ac:dyDescent="0.55000000000000004">
      <c r="A436">
        <v>64.439710897330798</v>
      </c>
      <c r="B436">
        <f t="shared" si="6"/>
        <v>4.1657300719134023</v>
      </c>
    </row>
    <row r="437" spans="1:2" x14ac:dyDescent="0.55000000000000004">
      <c r="A437">
        <v>173.92111962173101</v>
      </c>
      <c r="B437">
        <f t="shared" si="6"/>
        <v>5.1586018609196289</v>
      </c>
    </row>
    <row r="438" spans="1:2" x14ac:dyDescent="0.55000000000000004">
      <c r="A438">
        <v>87.113833975921906</v>
      </c>
      <c r="B438">
        <f t="shared" si="6"/>
        <v>4.4672156999023418</v>
      </c>
    </row>
    <row r="439" spans="1:2" x14ac:dyDescent="0.55000000000000004">
      <c r="A439">
        <v>91.780342683425403</v>
      </c>
      <c r="B439">
        <f t="shared" si="6"/>
        <v>4.5193981427080869</v>
      </c>
    </row>
    <row r="440" spans="1:2" x14ac:dyDescent="0.55000000000000004">
      <c r="A440">
        <v>105.049956792533</v>
      </c>
      <c r="B440">
        <f t="shared" si="6"/>
        <v>4.6544360159870983</v>
      </c>
    </row>
    <row r="441" spans="1:2" x14ac:dyDescent="0.55000000000000004">
      <c r="A441">
        <v>65.507545745477003</v>
      </c>
      <c r="B441">
        <f t="shared" si="6"/>
        <v>4.1821653382269632</v>
      </c>
    </row>
    <row r="442" spans="1:2" x14ac:dyDescent="0.55000000000000004">
      <c r="A442">
        <v>97.786472269694599</v>
      </c>
      <c r="B442">
        <f t="shared" si="6"/>
        <v>4.5827862471228586</v>
      </c>
    </row>
    <row r="443" spans="1:2" x14ac:dyDescent="0.55000000000000004">
      <c r="A443">
        <v>83.046007482711602</v>
      </c>
      <c r="B443">
        <f t="shared" si="6"/>
        <v>4.4193947612458313</v>
      </c>
    </row>
    <row r="444" spans="1:2" x14ac:dyDescent="0.55000000000000004">
      <c r="A444">
        <v>102.15321769579801</v>
      </c>
      <c r="B444">
        <f t="shared" si="6"/>
        <v>4.6264738204816522</v>
      </c>
    </row>
    <row r="445" spans="1:2" x14ac:dyDescent="0.55000000000000004">
      <c r="A445">
        <v>88.819616942961204</v>
      </c>
      <c r="B445">
        <f t="shared" si="6"/>
        <v>4.4866075371206007</v>
      </c>
    </row>
    <row r="446" spans="1:2" x14ac:dyDescent="0.55000000000000004">
      <c r="A446">
        <v>74.385401603162407</v>
      </c>
      <c r="B446">
        <f t="shared" si="6"/>
        <v>4.3092597075751042</v>
      </c>
    </row>
    <row r="447" spans="1:2" x14ac:dyDescent="0.55000000000000004">
      <c r="A447">
        <v>114.521430700294</v>
      </c>
      <c r="B447">
        <f t="shared" si="6"/>
        <v>4.7407619731687651</v>
      </c>
    </row>
    <row r="448" spans="1:2" x14ac:dyDescent="0.55000000000000004">
      <c r="A448">
        <v>113.527052470277</v>
      </c>
      <c r="B448">
        <f t="shared" si="6"/>
        <v>4.732041156276888</v>
      </c>
    </row>
    <row r="449" spans="1:2" x14ac:dyDescent="0.55000000000000004">
      <c r="A449">
        <v>116.31360886055801</v>
      </c>
      <c r="B449">
        <f t="shared" si="6"/>
        <v>4.7562900678169555</v>
      </c>
    </row>
    <row r="450" spans="1:2" x14ac:dyDescent="0.55000000000000004">
      <c r="A450">
        <v>116.078868955788</v>
      </c>
      <c r="B450">
        <f t="shared" si="6"/>
        <v>4.7542698648670907</v>
      </c>
    </row>
    <row r="451" spans="1:2" x14ac:dyDescent="0.55000000000000004">
      <c r="A451">
        <v>123.00743876543901</v>
      </c>
      <c r="B451">
        <f t="shared" si="6"/>
        <v>4.8122448313115074</v>
      </c>
    </row>
    <row r="452" spans="1:2" x14ac:dyDescent="0.55000000000000004">
      <c r="A452">
        <v>82.478980570575004</v>
      </c>
      <c r="B452">
        <f t="shared" ref="B452:B502" si="7">LN(A452)</f>
        <v>4.4125434799157244</v>
      </c>
    </row>
    <row r="453" spans="1:2" x14ac:dyDescent="0.55000000000000004">
      <c r="A453">
        <v>110.344384773455</v>
      </c>
      <c r="B453">
        <f t="shared" si="7"/>
        <v>4.7036062458027281</v>
      </c>
    </row>
    <row r="454" spans="1:2" x14ac:dyDescent="0.55000000000000004">
      <c r="A454">
        <v>68.398579951253396</v>
      </c>
      <c r="B454">
        <f t="shared" si="7"/>
        <v>4.2253520634664055</v>
      </c>
    </row>
    <row r="455" spans="1:2" x14ac:dyDescent="0.55000000000000004">
      <c r="A455">
        <v>115.939181007421</v>
      </c>
      <c r="B455">
        <f t="shared" si="7"/>
        <v>4.7530657519520245</v>
      </c>
    </row>
    <row r="456" spans="1:2" x14ac:dyDescent="0.55000000000000004">
      <c r="A456">
        <v>96.678901279500295</v>
      </c>
      <c r="B456">
        <f t="shared" si="7"/>
        <v>4.5713951912640889</v>
      </c>
    </row>
    <row r="457" spans="1:2" x14ac:dyDescent="0.55000000000000004">
      <c r="A457">
        <v>62.278317836731901</v>
      </c>
      <c r="B457">
        <f t="shared" si="7"/>
        <v>4.1316133369146435</v>
      </c>
    </row>
    <row r="458" spans="1:2" x14ac:dyDescent="0.55000000000000004">
      <c r="A458">
        <v>114.252901101647</v>
      </c>
      <c r="B458">
        <f t="shared" si="7"/>
        <v>4.7384144220265192</v>
      </c>
    </row>
    <row r="459" spans="1:2" x14ac:dyDescent="0.55000000000000004">
      <c r="A459">
        <v>90.259302637827204</v>
      </c>
      <c r="B459">
        <f t="shared" si="7"/>
        <v>4.5026866682204068</v>
      </c>
    </row>
    <row r="460" spans="1:2" x14ac:dyDescent="0.55000000000000004">
      <c r="A460">
        <v>131.46020222329901</v>
      </c>
      <c r="B460">
        <f t="shared" si="7"/>
        <v>4.8787041611219317</v>
      </c>
    </row>
    <row r="461" spans="1:2" x14ac:dyDescent="0.55000000000000004">
      <c r="A461">
        <v>92.6851153380764</v>
      </c>
      <c r="B461">
        <f t="shared" si="7"/>
        <v>4.529207891589583</v>
      </c>
    </row>
    <row r="462" spans="1:2" x14ac:dyDescent="0.55000000000000004">
      <c r="A462">
        <v>112.63908727269499</v>
      </c>
      <c r="B462">
        <f t="shared" si="7"/>
        <v>4.7241887893290953</v>
      </c>
    </row>
    <row r="463" spans="1:2" x14ac:dyDescent="0.55000000000000004">
      <c r="A463">
        <v>90.019214920971706</v>
      </c>
      <c r="B463">
        <f t="shared" si="7"/>
        <v>4.5000231466644784</v>
      </c>
    </row>
    <row r="464" spans="1:2" x14ac:dyDescent="0.55000000000000004">
      <c r="A464">
        <v>103.068560615083</v>
      </c>
      <c r="B464">
        <f t="shared" si="7"/>
        <v>4.635394403831202</v>
      </c>
    </row>
    <row r="465" spans="1:2" x14ac:dyDescent="0.55000000000000004">
      <c r="A465">
        <v>128.550443599071</v>
      </c>
      <c r="B465">
        <f t="shared" si="7"/>
        <v>4.8563213844960726</v>
      </c>
    </row>
    <row r="466" spans="1:2" x14ac:dyDescent="0.55000000000000004">
      <c r="A466">
        <v>79.026333409615702</v>
      </c>
      <c r="B466">
        <f t="shared" si="7"/>
        <v>4.3697811312224193</v>
      </c>
    </row>
    <row r="467" spans="1:2" x14ac:dyDescent="0.55000000000000004">
      <c r="A467">
        <v>88.225543359079694</v>
      </c>
      <c r="B467">
        <f t="shared" si="7"/>
        <v>4.4798965283304639</v>
      </c>
    </row>
    <row r="468" spans="1:2" x14ac:dyDescent="0.55000000000000004">
      <c r="A468">
        <v>92.086535752296797</v>
      </c>
      <c r="B468">
        <f t="shared" si="7"/>
        <v>4.5227287409596411</v>
      </c>
    </row>
    <row r="469" spans="1:2" x14ac:dyDescent="0.55000000000000004">
      <c r="A469">
        <v>107.669466286011</v>
      </c>
      <c r="B469">
        <f t="shared" si="7"/>
        <v>4.6790660368729329</v>
      </c>
    </row>
    <row r="470" spans="1:2" x14ac:dyDescent="0.55000000000000004">
      <c r="A470">
        <v>99.955403403383599</v>
      </c>
      <c r="B470">
        <f t="shared" si="7"/>
        <v>4.6047241205495304</v>
      </c>
    </row>
    <row r="471" spans="1:2" x14ac:dyDescent="0.55000000000000004">
      <c r="A471">
        <v>156.33867069819601</v>
      </c>
      <c r="B471">
        <f t="shared" si="7"/>
        <v>5.0520246201220083</v>
      </c>
    </row>
    <row r="472" spans="1:2" x14ac:dyDescent="0.55000000000000004">
      <c r="A472">
        <v>102.523129876423</v>
      </c>
      <c r="B472">
        <f t="shared" si="7"/>
        <v>4.6300884304526333</v>
      </c>
    </row>
    <row r="473" spans="1:2" x14ac:dyDescent="0.55000000000000004">
      <c r="A473">
        <v>91.920755624071404</v>
      </c>
      <c r="B473">
        <f t="shared" si="7"/>
        <v>4.5209268539600567</v>
      </c>
    </row>
    <row r="474" spans="1:2" x14ac:dyDescent="0.55000000000000004">
      <c r="A474">
        <v>84.801799036330905</v>
      </c>
      <c r="B474">
        <f t="shared" si="7"/>
        <v>4.4403167576238936</v>
      </c>
    </row>
    <row r="475" spans="1:2" x14ac:dyDescent="0.55000000000000004">
      <c r="A475">
        <v>101.708931793967</v>
      </c>
      <c r="B475">
        <f t="shared" si="7"/>
        <v>4.6221151241142282</v>
      </c>
    </row>
    <row r="476" spans="1:2" x14ac:dyDescent="0.55000000000000004">
      <c r="A476">
        <v>106.64501132978</v>
      </c>
      <c r="B476">
        <f t="shared" si="7"/>
        <v>4.6695056677312472</v>
      </c>
    </row>
    <row r="477" spans="1:2" x14ac:dyDescent="0.55000000000000004">
      <c r="A477">
        <v>112.671369668135</v>
      </c>
      <c r="B477">
        <f t="shared" si="7"/>
        <v>4.7244753485602935</v>
      </c>
    </row>
    <row r="478" spans="1:2" x14ac:dyDescent="0.55000000000000004">
      <c r="A478">
        <v>66.451007078067605</v>
      </c>
      <c r="B478">
        <f t="shared" si="7"/>
        <v>4.1964649404705607</v>
      </c>
    </row>
    <row r="479" spans="1:2" x14ac:dyDescent="0.55000000000000004">
      <c r="A479">
        <v>118.352407598893</v>
      </c>
      <c r="B479">
        <f t="shared" si="7"/>
        <v>4.7736666787939974</v>
      </c>
    </row>
    <row r="480" spans="1:2" x14ac:dyDescent="0.55000000000000004">
      <c r="A480">
        <v>104.311789231644</v>
      </c>
      <c r="B480">
        <f t="shared" si="7"/>
        <v>4.6473843875619938</v>
      </c>
    </row>
    <row r="481" spans="1:2" x14ac:dyDescent="0.55000000000000004">
      <c r="A481">
        <v>99.502530480151293</v>
      </c>
      <c r="B481">
        <f t="shared" si="7"/>
        <v>4.6001830758024802</v>
      </c>
    </row>
    <row r="482" spans="1:2" x14ac:dyDescent="0.55000000000000004">
      <c r="A482">
        <v>104.535212320631</v>
      </c>
      <c r="B482">
        <f t="shared" si="7"/>
        <v>4.6495239746526309</v>
      </c>
    </row>
    <row r="483" spans="1:2" x14ac:dyDescent="0.55000000000000004">
      <c r="A483">
        <v>126.595800683709</v>
      </c>
      <c r="B483">
        <f t="shared" si="7"/>
        <v>4.8409993392050357</v>
      </c>
    </row>
    <row r="484" spans="1:2" x14ac:dyDescent="0.55000000000000004">
      <c r="A484">
        <v>104.97715629720101</v>
      </c>
      <c r="B484">
        <f t="shared" si="7"/>
        <v>4.6537427674138385</v>
      </c>
    </row>
    <row r="485" spans="1:2" x14ac:dyDescent="0.55000000000000004">
      <c r="A485">
        <v>108.647126070295</v>
      </c>
      <c r="B485">
        <f t="shared" si="7"/>
        <v>4.6881052550897815</v>
      </c>
    </row>
    <row r="486" spans="1:2" x14ac:dyDescent="0.55000000000000004">
      <c r="A486">
        <v>96.738367967098796</v>
      </c>
      <c r="B486">
        <f t="shared" si="7"/>
        <v>4.572010096951713</v>
      </c>
    </row>
    <row r="487" spans="1:2" x14ac:dyDescent="0.55000000000000004">
      <c r="A487">
        <v>100.654179222499</v>
      </c>
      <c r="B487">
        <f t="shared" si="7"/>
        <v>4.6116906735536185</v>
      </c>
    </row>
    <row r="488" spans="1:2" x14ac:dyDescent="0.55000000000000004">
      <c r="A488">
        <v>140.77869843751699</v>
      </c>
      <c r="B488">
        <f t="shared" si="7"/>
        <v>4.9471891427722587</v>
      </c>
    </row>
    <row r="489" spans="1:2" x14ac:dyDescent="0.55000000000000004">
      <c r="A489">
        <v>81.438346765246095</v>
      </c>
      <c r="B489">
        <f t="shared" si="7"/>
        <v>4.399846252562349</v>
      </c>
    </row>
    <row r="490" spans="1:2" x14ac:dyDescent="0.55000000000000004">
      <c r="A490">
        <v>117.02093434255499</v>
      </c>
      <c r="B490">
        <f t="shared" si="7"/>
        <v>4.7623528447971513</v>
      </c>
    </row>
    <row r="491" spans="1:2" x14ac:dyDescent="0.55000000000000004">
      <c r="A491">
        <v>98.897931503933094</v>
      </c>
      <c r="B491">
        <f t="shared" si="7"/>
        <v>4.59408832338399</v>
      </c>
    </row>
    <row r="492" spans="1:2" x14ac:dyDescent="0.55000000000000004">
      <c r="A492">
        <v>108.817998609835</v>
      </c>
      <c r="B492">
        <f t="shared" si="7"/>
        <v>4.6896767491392923</v>
      </c>
    </row>
    <row r="493" spans="1:2" x14ac:dyDescent="0.55000000000000004">
      <c r="A493">
        <v>135.61813595353499</v>
      </c>
      <c r="B493">
        <f t="shared" si="7"/>
        <v>4.9098431125331228</v>
      </c>
    </row>
    <row r="494" spans="1:2" x14ac:dyDescent="0.55000000000000004">
      <c r="A494">
        <v>99.804194404892996</v>
      </c>
      <c r="B494">
        <f t="shared" si="7"/>
        <v>4.6032102105394026</v>
      </c>
    </row>
    <row r="495" spans="1:2" x14ac:dyDescent="0.55000000000000004">
      <c r="A495">
        <v>128.36785800267199</v>
      </c>
      <c r="B495">
        <f t="shared" si="7"/>
        <v>4.854900032836813</v>
      </c>
    </row>
    <row r="496" spans="1:2" x14ac:dyDescent="0.55000000000000004">
      <c r="A496">
        <v>63.914439922279399</v>
      </c>
      <c r="B496">
        <f t="shared" si="7"/>
        <v>4.1575453127290434</v>
      </c>
    </row>
    <row r="497" spans="1:2" x14ac:dyDescent="0.55000000000000004">
      <c r="A497">
        <v>89.550674741123501</v>
      </c>
      <c r="B497">
        <f t="shared" si="7"/>
        <v>4.4948046632759171</v>
      </c>
    </row>
    <row r="498" spans="1:2" x14ac:dyDescent="0.55000000000000004">
      <c r="A498">
        <v>109.61041807601001</v>
      </c>
      <c r="B498">
        <f t="shared" si="7"/>
        <v>4.6969324254344809</v>
      </c>
    </row>
    <row r="499" spans="1:2" x14ac:dyDescent="0.55000000000000004">
      <c r="A499">
        <v>102.116186882528</v>
      </c>
      <c r="B499">
        <f t="shared" si="7"/>
        <v>4.6261112521004293</v>
      </c>
    </row>
    <row r="500" spans="1:2" x14ac:dyDescent="0.55000000000000004">
      <c r="A500">
        <v>90.707485747776801</v>
      </c>
      <c r="B500">
        <f t="shared" si="7"/>
        <v>4.5076398867669898</v>
      </c>
    </row>
    <row r="501" spans="1:2" x14ac:dyDescent="0.55000000000000004">
      <c r="A501">
        <v>108.06200277792701</v>
      </c>
      <c r="B501">
        <f t="shared" si="7"/>
        <v>4.6827051621875979</v>
      </c>
    </row>
    <row r="502" spans="1:2" x14ac:dyDescent="0.55000000000000004">
      <c r="A502">
        <v>88.476919442917705</v>
      </c>
      <c r="B502">
        <f t="shared" si="7"/>
        <v>4.4827417207451985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direkt aus optionspreisen</vt:lpstr>
      <vt:lpstr>S_T lognorm 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Blunier</dc:creator>
  <cp:lastModifiedBy>Nils Blunier</cp:lastModifiedBy>
  <dcterms:created xsi:type="dcterms:W3CDTF">2015-06-05T18:19:34Z</dcterms:created>
  <dcterms:modified xsi:type="dcterms:W3CDTF">2025-04-25T10:45:39Z</dcterms:modified>
</cp:coreProperties>
</file>